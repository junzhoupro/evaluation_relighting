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 Stub Distribution Channel" sheetId="1" r:id="rId4"/>
  </sheets>
  <definedNames/>
  <calcPr/>
  <extLst>
    <ext uri="GoogleSheetsCustomDataVersion2">
      <go:sheetsCustomData xmlns:go="http://customooxmlschemas.google.com/" r:id="rId5" roundtripDataChecksum="E4YbAAjWqH98NbzU4Tdlu4HS78UxcDz0J9TDn8ZDUrQ="/>
    </ext>
  </extLst>
</workbook>
</file>

<file path=xl/sharedStrings.xml><?xml version="1.0" encoding="utf-8"?>
<sst xmlns="http://schemas.openxmlformats.org/spreadsheetml/2006/main" count="3138" uniqueCount="253">
  <si>
    <t>FILTER: ALL</t>
  </si>
  <si>
    <t xml:space="preserve">  Recorded Date is greater than or equal to 09/28/2025 12:00 am</t>
  </si>
  <si>
    <t xml:space="preserve">  Finished equals True</t>
  </si>
  <si>
    <t>aged-hand_choose_aged-hand_golden-ring-test_gold_indoor_pool_4k: In which picture does the jewelry look the most attractive?</t>
  </si>
  <si>
    <t>aged-hand_choose_aged-hand_ch-gladysiewski_gold_indoor_pool_4k: In which picture does the jewelry look the most attractive?</t>
  </si>
  <si>
    <t>aged-hand_choose_aged-hand_ch-gladysiewski_silver_indoor_pool_4k: In which picture does the jewelry look the most attractive?</t>
  </si>
  <si>
    <t>aged-hand_choose_aged-hand_silver-moon-ring_silver_indoor_pool_4k: In which picture does the jewelry look the most attractive?</t>
  </si>
  <si>
    <t>aged-hand_choose_aged-hand_riccardoferrari-ring_silver_indoor_pool_4k: In which picture does the jewelry look the most attractive?</t>
  </si>
  <si>
    <t>aged-hand_choose_aged-hand_silver-moon-ring_gold_indoor_pool_4k: In which picture does the jewelry look the most attractive?</t>
  </si>
  <si>
    <t>aged-hand_choose_aged-hand_golden-ring-test_silver_indoor_pool_4k: In which picture does the jewelry look the most attractive?</t>
  </si>
  <si>
    <t>aged-hand_choose_aged-hand_riccardoferrari-ring_gold_indoor_pool_4k: In which picture does the jewelry look the most attractive?</t>
  </si>
  <si>
    <t>aged-hand_choose_aged-hand_golden-ring-test_gold_cinema_hall_4k: In which picture does the jewelry look the most attractive?</t>
  </si>
  <si>
    <t>aged-hand_choose_aged-hand_ch-gladysiewski_gold_cinema_hall_4k: In which picture does the jewelry look the most attractive?</t>
  </si>
  <si>
    <t>aged-hand_choose_aged-hand_ch-gladysiewski_silver_cinema_hall_4k: In which picture does the jewelry look the most attractive?</t>
  </si>
  <si>
    <t>aged-hand_choose_aged-hand_silver-moon-ring_silver_cinema_hall_4k: In which picture does the jewelry look the most attractive?</t>
  </si>
  <si>
    <t>aged-hand_choose_aged-hand_riccardoferrari-ring_silver_cinema_hall_4k: In which picture does the jewelry look the most attractive?</t>
  </si>
  <si>
    <t>aged-hand_choose_aged-hand_silver-moon-ring_gold_cinema_hall_4k: In which picture does the jewelry look the most attractive?</t>
  </si>
  <si>
    <t>aged-hand_choose_aged-hand_golden-ring-test_silver_cinema_hall_4k: In which picture does the jewelry look the most attractive?</t>
  </si>
  <si>
    <t>aged-hand_choose_aged-hand_riccardoferrari-ring_gold_cinema_hall_4k: In which picture does the jewelry look the most attractive?</t>
  </si>
  <si>
    <t>aged-hand_choose_aged-hand_golden-ring-test_gold_industrial_pipe_and_valve_...: In which picture does the jewelry look the most attractive?</t>
  </si>
  <si>
    <t>aged-hand_choose_aged-hand_ch-gladysiewski_gold_industrial_pipe_and_valve_0...: In which picture does the jewelry look the most attractive?</t>
  </si>
  <si>
    <t>aged-hand_choose_aged-hand_ch-gladysiewski_silver_industrial_pipe_and_valve...: In which picture does the jewelry look the most attractive?</t>
  </si>
  <si>
    <t>aged-hand_choose_aged-hand_silver-moon-ring_silver_industrial_pipe_and_valv...: In which picture does the jewelry look the most attractive?</t>
  </si>
  <si>
    <t>aged-hand_choose_aged-hand_riccardoferrari-ring_silver_industrial_pipe_and_...: In which picture does the jewelry look the most attractive?</t>
  </si>
  <si>
    <t>aged-hand_choose_aged-hand_silver-moon-ring_gold_industrial_pipe_and_valve_...: In which picture does the jewelry look the most attractive?</t>
  </si>
  <si>
    <t>aged-hand_choose_aged-hand_golden-ring-test_silver_industrial_pipe_and_valv...: In which picture does the jewelry look the most attractive?</t>
  </si>
  <si>
    <t>aged-hand_choose_aged-hand_riccardoferrari-ring_gold_industrial_pipe_and_va...: In which picture does the jewelry look the most attractive?</t>
  </si>
  <si>
    <t>aged-hand_choose_rotate_aged-hand_golden-ring-test_gold_indoor_pool_4k: In which picture does the jewelry look the most attractive?</t>
  </si>
  <si>
    <t>aged-hand_choose_rotate_aged-hand_ch-gladysiewski_gold_indoor_pool_4k: In which picture does the jewelry look the most attractive?</t>
  </si>
  <si>
    <t>aged-hand_choose_rotate_aged-hand_ch-gladysiewski_silver_indoor_pool_4k: In which picture does the jewelry look the most attractive?</t>
  </si>
  <si>
    <t>aged-hand_choose_rotate_aged-hand_silver-moon-ring_silver_indoor_pool_4k: In which picture does the jewelry look the most attractive?</t>
  </si>
  <si>
    <t>aged-hand_choose_rotate_aged-hand_riccardoferrari-ring_silver_indoor_pool_4...: In which picture does the jewelry look the most attractive?</t>
  </si>
  <si>
    <t>aged-hand_choose_rotate_aged-hand_silver-moon-ring_gold_indoor_pool_4k: In which picture does the jewelry look the most attractive?</t>
  </si>
  <si>
    <t>aged-hand_choose_rotate_aged-hand_golden-ring-test_silver_indoor_pool_4k: In which picture does the jewelry look the most attractive?</t>
  </si>
  <si>
    <t>aged-hand_choose_rotate_aged-hand_riccardoferrari-ring_gold_indoor_pool_4k: In which picture does the jewelry look the most attractive?</t>
  </si>
  <si>
    <t>aged-hand_choose_rotate_aged-hand_golden-ring-test_gold_cinema_hall_4k: In which picture does the jewelry look the most attractive?</t>
  </si>
  <si>
    <t>aged-hand_choose_rotate_aged-hand_ch-gladysiewski_gold_cinema_hall_4k: In which picture does the jewelry look the most attractive?</t>
  </si>
  <si>
    <t>aged-hand_choose_rotate_aged-hand_ch-gladysiewski_silver_cinema_hall_4k: In which picture does the jewelry look the most attractive?</t>
  </si>
  <si>
    <t>aged-hand_choose_rotate_aged-hand_silver-moon-ring_silver_cinema_hall_4k: In which picture does the jewelry look the most attractive?</t>
  </si>
  <si>
    <t>aged-hand_choose_rotate_aged-hand_riccardoferrari-ring_silver_cinema_hall_4...: In which picture does the jewelry look the most attractive?</t>
  </si>
  <si>
    <t>aged-hand_choose_rotate_aged-hand_silver-moon-ring_gold_cinema_hall_4k: In which picture does the jewelry look the most attractive?</t>
  </si>
  <si>
    <t>aged-hand_choose_rotate_aged-hand_golden-ring-test_silver_cinema_hall_4k: In which picture does the jewelry look the most attractive?</t>
  </si>
  <si>
    <t>aged-hand_choose_rotate_aged-hand_riccardoferrari-ring_gold_cinema_hall_4k: In which picture does the jewelry look the most attractive?</t>
  </si>
  <si>
    <t>aged-hand_choose_rotate_aged-hand_golden-ring-test_gold_industrial_pipe_and...: In which picture does the jewelry look the most attractive?</t>
  </si>
  <si>
    <t>aged-hand_choose_rotate_aged-hand_ch-gladysiewski_gold_industrial_pipe_and_...: In which picture does the jewelry look the most attractive?</t>
  </si>
  <si>
    <t>aged-hand_choose_rotate_aged-hand_ch-gladysiewski_silver_industrial_pipe_an...: In which picture does the jewelry look the most attractive?</t>
  </si>
  <si>
    <t>aged-hand_choose_rotate_aged-hand_silver-moon-ring_silver_industrial_pipe_a...: In which picture does the jewelry look the most attractive?</t>
  </si>
  <si>
    <t>aged-hand_choose_rotate_aged-hand_riccardoferrari-ring_silver_industrial_pi...: In which picture does the jewelry look the most attractive?</t>
  </si>
  <si>
    <t>aged-hand_choose_rotate_aged-hand_silver-moon-ring_gold_industrial_pipe_and...: In which picture does the jewelry look the most attractive?</t>
  </si>
  <si>
    <t>aged-hand_choose_rotate_aged-hand_golden-ring-test_silver_industrial_pipe_a...: In which picture does the jewelry look the most attractive?</t>
  </si>
  <si>
    <t>aged-hand_choose_rotate_aged-hand_riccardoferrari-ring_gold_industrial_pipe...: In which picture does the jewelry look the most attractive?</t>
  </si>
  <si>
    <t>young-hand_young-hand_riccardoferrari-ring_silver_indoor_pool_4k: In which picture does the jewelry look the most attractive?</t>
  </si>
  <si>
    <t>young-hand_young-hand_silver-moon-ring_silver_indoor_pool_4k: In which picture does the jewelry look the most attractive?</t>
  </si>
  <si>
    <t>young-hand_young-hand_riccardoferrari-ring_gold_indoor_pool_4k: In which picture does the jewelry look the most attractive?</t>
  </si>
  <si>
    <t>young-hand_young-hand_golden-ring-test_silver_indoor_pool_4k: In which picture does the jewelry look the most attractive?</t>
  </si>
  <si>
    <t>young-hand_young-hand_silver-moon-ring_gold_indoor_pool_4k: In which picture does the jewelry look the most attractive?</t>
  </si>
  <si>
    <t>young-hand_young-hand_golden-ring-test_gold_indoor_pool_4k: In which picture does the jewelry look the most attractive?</t>
  </si>
  <si>
    <t>young-hand_young-hand_ch-gladysiewski_gold_indoor_pool_4k: In which picture does the jewelry look the most attractive?</t>
  </si>
  <si>
    <t>young-hand_young-hand_ch-gladysiewski_silver_indoor_pool_4k: In which picture does the jewelry look the most attractive?</t>
  </si>
  <si>
    <t>young-hand_young-hand_riccardoferrari-ring_silver_cinema_hall_4k: In which picture does the jewelry look the most attractive?</t>
  </si>
  <si>
    <t>young-hand_young-hand_silver-moon-ring_silver_cinema_hall_4k: In which picture does the jewelry look the most attractive?</t>
  </si>
  <si>
    <t>young-hand_young-hand_riccardoferrari-ring_gold_cinema_hall_4k: In which picture does the jewelry look the most attractive?</t>
  </si>
  <si>
    <t>young-hand_young-hand_golden-ring-test_silver_cinema_hall_4k: In which picture does the jewelry look the most attractive?</t>
  </si>
  <si>
    <t>young-hand_young-hand_silver-moon-ring_gold_cinema_hall_4k: In which picture does the jewelry look the most attractive?</t>
  </si>
  <si>
    <t>young-hand_young-hand_golden-ring-test_gold_cinema_hall_4k: In which picture does the jewelry look the most attractive?</t>
  </si>
  <si>
    <t>young-hand_young-hand_ch-gladysiewski_gold_cinema_hall_4k: In which picture does the jewelry look the most attractive?</t>
  </si>
  <si>
    <t>young-hand_young-hand_ch-gladysiewski_silver_cinema_hall_4k: In which picture does the jewelry look the most attractive?</t>
  </si>
  <si>
    <t>young-hand_young-hand_riccardoferrari-ring_silver_industrial_pipe_and_valve...: In which picture does the jewelry look the most attractive?</t>
  </si>
  <si>
    <t>young-hand_young-hand_silver-moon-ring_silver_industrial_pipe_and_valve_01_...: In which picture does the jewelry look the most attractive?</t>
  </si>
  <si>
    <t>young-hand_young-hand_riccardoferrari-ring_gold_industrial_pipe_and_valve_0...: In which picture does the jewelry look the most attractive?</t>
  </si>
  <si>
    <t>young-hand_young-hand_golden-ring-test_silver_industrial_pipe_and_valve_01_...: In which picture does the jewelry look the most attractive?</t>
  </si>
  <si>
    <t>young-hand_young-hand_silver-moon-ring_gold_industrial_pipe_and_valve_01_4k: In which picture does the jewelry look the most attractive?</t>
  </si>
  <si>
    <t>young-hand_young-hand_golden-ring-test_gold_industrial_pipe_and_valve_01_4k: In which picture does the jewelry look the most attractive?</t>
  </si>
  <si>
    <t>young-hand_young-hand_ch-gladysiewski_gold_industrial_pipe_and_valve_01_4k: In which picture does the jewelry look the most attractive?</t>
  </si>
  <si>
    <t>young-hand_young-hand_ch-gladysiewski_silver_industrial_pipe_and_valve_01_4...: In which picture does the jewelry look the most attractive?</t>
  </si>
  <si>
    <t>young-hand_rotate_young-hand_riccardoferrari-ring_silver_indoor_pool_4k: In which picture does the jewelry look the most attractive?</t>
  </si>
  <si>
    <t>young-hand_rotate_young-hand_silver-moon-ring_silver_indoor_pool_4k: In which picture does the jewelry look the most attractive?</t>
  </si>
  <si>
    <t>young-hand_rotate_young-hand_riccardoferrari-ring_gold_indoor_pool_4k: In which picture does the jewelry look the most attractive?</t>
  </si>
  <si>
    <t>young-hand_rotate_young-hand_golden-ring-test_silver_indoor_pool_4k: In which picture does the jewelry look the most attractive?</t>
  </si>
  <si>
    <t>young-hand_rotate_young-hand_silver-moon-ring_gold_indoor_pool_4k: In which picture does the jewelry look the most attractive?</t>
  </si>
  <si>
    <t>young-hand_rotate_young-hand_golden-ring-test_gold_indoor_pool_4k: In which picture does the jewelry look the most attractive?</t>
  </si>
  <si>
    <t>young-hand_rotate_young-hand_ch-gladysiewski_gold_indoor_pool_4k: In which picture does the jewelry look the most attractive?</t>
  </si>
  <si>
    <t>young-hand_rotate_young-hand_ch-gladysiewski_silver_indoor_pool_4k: In which picture does the jewelry look the most attractive?</t>
  </si>
  <si>
    <t>young-hand_rotate_young-hand_riccardoferrari-ring_silver_cinema_hall_4k: In which picture does the jewelry look the most attractive?</t>
  </si>
  <si>
    <t>young-hand_rotate_young-hand_silver-moon-ring_silver_cinema_hall_4k: In which picture does the jewelry look the most attractive?</t>
  </si>
  <si>
    <t>young-hand_rotate_young-hand_riccardoferrari-ring_gold_cinema_hall_4k: In which picture does the jewelry look the most attractive?</t>
  </si>
  <si>
    <t>young-hand_rotate_young-hand_golden-ring-test_silver_cinema_hall_4k: In which picture does the jewelry look the most attractive?</t>
  </si>
  <si>
    <t>young-hand_rotate_young-hand_silver-moon-ring_gold_cinema_hall_4k: In which picture does the jewelry look the most attractive?</t>
  </si>
  <si>
    <t>young-hand_rotate_young-hand_golden-ring-test_gold_cinema_hall_4k: In which picture does the jewelry look the most attractive?</t>
  </si>
  <si>
    <t>young-hand_rotate_young-hand_ch-gladysiewski_gold_cinema_hall_4k: In which picture does the jewelry look the most attractive?</t>
  </si>
  <si>
    <t>young-hand_rotate_young-hand_ch-gladysiewski_silver_cinema_hall_4k: In which picture does the jewelry look the most attractive?</t>
  </si>
  <si>
    <t>young-hand_rotate_young-hand_riccardoferrari-ring_silver_industrial_pipe_an...: In which picture does the jewelry look the most attractive?</t>
  </si>
  <si>
    <t>young-hand_rotate_young-hand_silver-moon-ring_silver_industrial_pipe_and_va...: In which picture does the jewelry look the most attractive?</t>
  </si>
  <si>
    <t>young-hand_rotate_young-hand_riccardoferrari-ring_gold_industrial_pipe_and_...: In which picture does the jewelry look the most attractive?</t>
  </si>
  <si>
    <t>young-hand_rotate_young-hand_golden-ring-test_silver_industrial_pipe_and_va...: In which picture does the jewelry look the most attractive?</t>
  </si>
  <si>
    <t>young-hand_rotate_young-hand_silver-moon-ring_gold_industrial_pipe_and_valv...: In which picture does the jewelry look the most attractive?</t>
  </si>
  <si>
    <t>young-hand_rotate_young-hand_golden-ring-test_gold_industrial_pipe_and_valv...: In which picture does the jewelry look the most attractive?</t>
  </si>
  <si>
    <t>young-hand_rotate_young-hand_ch-gladysiewski_gold_industrial_pipe_and_valve...: In which picture does the jewelry look the most attractive?</t>
  </si>
  <si>
    <t>young-hand_rotate_young-hand_ch-gladysiewski_silver_industrial_pipe_and_val...: In which picture does the jewelry look the most attractive?</t>
  </si>
  <si>
    <t>light-skin-hand_light-skin-hand_ch-gladysiewski_silver_indoor_pool_4k: In which picture does the jewelry look the most attractive?</t>
  </si>
  <si>
    <t>light-skin-hand_light-skin-hand_silver-moon-ring_silver_indoor_pool_4k: In which picture does the jewelry look the most attractive?</t>
  </si>
  <si>
    <t>light-skin-hand_light-skin-hand_riccardoferrari-ring_silver_indoor_pool_4k: In which picture does the jewelry look the most attractive?</t>
  </si>
  <si>
    <t>light-skin-hand_light-skin-hand_riccardoferrari-ring_gold_indoor_pool_4k: In which picture does the jewelry look the most attractive?</t>
  </si>
  <si>
    <t>light-skin-hand_light-skin-hand_silver-moon-ring_gold_indoor_pool_4k: In which picture does the jewelry look the most attractive?</t>
  </si>
  <si>
    <t>light-skin-hand_light-skin-hand_ch-gladysiewski_gold_indoor_pool_4k: In which picture does the jewelry look the most attractive?</t>
  </si>
  <si>
    <t>light-skin-hand_light-skin-hand_golden-ring-test_silver_indoor_pool_4k: In which picture does the jewelry look the most attractive?</t>
  </si>
  <si>
    <t>light-skin-hand_light-skin-hand_golden-ring-test_gold_indoor_pool_4k: In which picture does the jewelry look the most attractive?</t>
  </si>
  <si>
    <t>light-skin-hand_light-skin-hand_ch-gladysiewski_silver_cinema_hall_4k: In which picture does the jewelry look the most attractive?</t>
  </si>
  <si>
    <t>light-skin-hand_light-skin-hand_silver-moon-ring_silver_cinema_hall_4k: In which picture does the jewelry look the most attractive?</t>
  </si>
  <si>
    <t>light-skin-hand_light-skin-hand_riccardoferrari-ring_silver_cinema_hall_4k: In which picture does the jewelry look the most attractive?</t>
  </si>
  <si>
    <t>light-skin-hand_light-skin-hand_riccardoferrari-ring_gold_cinema_hall_4k: In which picture does the jewelry look the most attractive?</t>
  </si>
  <si>
    <t>light-skin-hand_light-skin-hand_silver-moon-ring_gold_cinema_hall_4k: In which picture does the jewelry look the most attractive?</t>
  </si>
  <si>
    <t>light-skin-hand_light-skin-hand_ch-gladysiewski_gold_cinema_hall_4k: In which picture does the jewelry look the most attractive?</t>
  </si>
  <si>
    <t>light-skin-hand_light-skin-hand_golden-ring-test_silver_cinema_hall_4k: In which picture does the jewelry look the most attractive?</t>
  </si>
  <si>
    <t>light-skin-hand_light-skin-hand_golden-ring-test_gold_cinema_hall_4k: In which picture does the jewelry look the most attractive?</t>
  </si>
  <si>
    <t>light-skin-hand_light-skin-hand_ch-gladysiewski_silver_industrial_pipe_and_...: In which picture does the jewelry look the most attractive?</t>
  </si>
  <si>
    <t>light-skin-hand_light-skin-hand_silver-moon-ring_silver_industrial_pipe_and...: In which picture does the jewelry look the most attractive?</t>
  </si>
  <si>
    <t>light-skin-hand_light-skin-hand_riccardoferrari-ring_silver_industrial_pipe...: In which picture does the jewelry look the most attractive?</t>
  </si>
  <si>
    <t>light-skin-hand_light-skin-hand_riccardoferrari-ring_gold_industrial_pipe_a...: In which picture does the jewelry look the most attractive?</t>
  </si>
  <si>
    <t>light-skin-hand_light-skin-hand_silver-moon-ring_gold_industrial_pipe_and_v...: In which picture does the jewelry look the most attractive?</t>
  </si>
  <si>
    <t>light-skin-hand_light-skin-hand_ch-gladysiewski_gold_industrial_pipe_and_va...: In which picture does the jewelry look the most attractive?</t>
  </si>
  <si>
    <t>light-skin-hand_light-skin-hand_golden-ring-test_silver_industrial_pipe_and...: In which picture does the jewelry look the most attractive?</t>
  </si>
  <si>
    <t>light-skin-hand_light-skin-hand_golden-ring-test_gold_industrial_pipe_and_v...: In which picture does the jewelry look the most attractive?</t>
  </si>
  <si>
    <t>light-skin-hand_rotate_light-skin-hand_ch-gladysiewski_silver_indoor_pool_4...: In which picture does the jewelry look the most attractive?</t>
  </si>
  <si>
    <t>light-skin-hand_rotate_light-skin-hand_silver-moon-ring_silver_indoor_pool_...: In which picture does the jewelry look the most attractive?</t>
  </si>
  <si>
    <t>light-skin-hand_rotate_light-skin-hand_riccardoferrari-ring_silver_indoor_p...: In which picture does the jewelry look the most attractive?</t>
  </si>
  <si>
    <t>light-skin-hand_rotate_light-skin-hand_riccardoferrari-ring_gold_indoor_poo...: In which picture does the jewelry look the most attractive?</t>
  </si>
  <si>
    <t>light-skin-hand_rotate_light-skin-hand_silver-moon-ring_gold_indoor_pool_4k: In which picture does the jewelry look the most attractive?</t>
  </si>
  <si>
    <t>light-skin-hand_rotate_light-skin-hand_ch-gladysiewski_gold_indoor_pool_4k: In which picture does the jewelry look the most attractive?</t>
  </si>
  <si>
    <t>light-skin-hand_rotate_light-skin-hand_golden-ring-test_silver_indoor_pool_...: In which picture does the jewelry look the most attractive?</t>
  </si>
  <si>
    <t>light-skin-hand_rotate_light-skin-hand_golden-ring-test_gold_indoor_pool_4k: In which picture does the jewelry look the most attractive?</t>
  </si>
  <si>
    <t>light-skin-hand_rotate_light-skin-hand_ch-gladysiewski_silver_cinema_hall_4...: In which picture does the jewelry look the most attractive?</t>
  </si>
  <si>
    <t>light-skin-hand_rotate_light-skin-hand_silver-moon-ring_silver_cinema_hall_...: In which picture does the jewelry look the most attractive?</t>
  </si>
  <si>
    <t>light-skin-hand_rotate_light-skin-hand_riccardoferrari-ring_silver_cinema_h...: In which picture does the jewelry look the most attractive?</t>
  </si>
  <si>
    <t>light-skin-hand_rotate_light-skin-hand_riccardoferrari-ring_gold_cinema_hal...: In which picture does the jewelry look the most attractive?</t>
  </si>
  <si>
    <t>light-skin-hand_rotate_light-skin-hand_silver-moon-ring_gold_cinema_hall_4k: In which picture does the jewelry look the most attractive?</t>
  </si>
  <si>
    <t>light-skin-hand_rotate_light-skin-hand_ch-gladysiewski_gold_cinema_hall_4k: In which picture does the jewelry look the most attractive?</t>
  </si>
  <si>
    <t>light-skin-hand_rotate_light-skin-hand_golden-ring-test_silver_cinema_hall_...: In which picture does the jewelry look the most attractive?</t>
  </si>
  <si>
    <t>light-skin-hand_rotate_light-skin-hand_golden-ring-test_gold_cinema_hall_4k: In which picture does the jewelry look the most attractive?</t>
  </si>
  <si>
    <t>light-skin-hand_rotate_light-skin-hand_ch-gladysiewski_silver_industrial_pi...: In which picture does the jewelry look the most attractive?</t>
  </si>
  <si>
    <t>light-skin-hand_rotate_light-skin-hand_silver-moon-ring_silver_industrial_p...: In which picture does the jewelry look the most attractive?</t>
  </si>
  <si>
    <t>light-skin-hand_rotate_light-skin-hand_riccardoferrari-ring_silver_industri...: In which picture does the jewelry look the most attractive?</t>
  </si>
  <si>
    <t>light-skin-hand_rotate_light-skin-hand_riccardoferrari-ring_gold_industrial...: In which picture does the jewelry look the most attractive?</t>
  </si>
  <si>
    <t>light-skin-hand_rotate_light-skin-hand_silver-moon-ring_gold_industrial_pip...: In which picture does the jewelry look the most attractive?</t>
  </si>
  <si>
    <t>light-skin-hand_rotate_light-skin-hand_ch-gladysiewski_gold_industrial_pipe...: In which picture does the jewelry look the most attractive?</t>
  </si>
  <si>
    <t>light-skin-hand_rotate_light-skin-hand_golden-ring-test_silver_industrial_p...: In which picture does the jewelry look the most attractive?</t>
  </si>
  <si>
    <t>light-skin-hand_rotate_light-skin-hand_golden-ring-test_gold_industrial_pip...: In which picture does the jewelry look the most attractive?</t>
  </si>
  <si>
    <t>dark-skin-hand_dark-skin-hand_golden-ring-test_gold_indoor_pool_4k: In which picture does the jewelry look the most attractive?</t>
  </si>
  <si>
    <t>dark-skin-hand_dark-skin-hand_silver-moon-ring_gold_indoor_pool_4k: In which picture does the jewelry look the most attractive?</t>
  </si>
  <si>
    <t>dark-skin-hand_dark-skin-hand_riccardoferrari-ring_silver_indoor_pool_4k: In which picture does the jewelry look the most attractive?</t>
  </si>
  <si>
    <t>dark-skin-hand_dark-skin-hand_golden-ring-test_silver_indoor_pool_4k: In which picture does the jewelry look the most attractive?</t>
  </si>
  <si>
    <t>dark-skin-hand_dark-skin-hand_riccardoferrari-ring_gold_indoor_pool_4k: In which picture does the jewelry look the most attractive?</t>
  </si>
  <si>
    <t>dark-skin-hand_dark-skin-hand_ch-gladysiewski_silver_indoor_pool_4k: In which picture does the jewelry look the most attractive?</t>
  </si>
  <si>
    <t>dark-skin-hand_dark-skin-hand_ch-gladysiewski_gold_indoor_pool_4k: In which picture does the jewelry look the most attractive?</t>
  </si>
  <si>
    <t>dark-skin-hand_dark-skin-hand_silver-moon-ring_silver_indoor_pool_4k: In which picture does the jewelry look the most attractive?</t>
  </si>
  <si>
    <t>dark-skin-hand_dark-skin-hand_golden-ring-test_gold_cinema_hall_4k: In which picture does the jewelry look the most attractive?</t>
  </si>
  <si>
    <t>dark-skin-hand_dark-skin-hand_silver-moon-ring_gold_cinema_hall_4k: In which picture does the jewelry look the most attractive?</t>
  </si>
  <si>
    <t>dark-skin-hand_dark-skin-hand_riccardoferrari-ring_silver_cinema_hall_4k: In which picture does the jewelry look the most attractive?</t>
  </si>
  <si>
    <t>dark-skin-hand_dark-skin-hand_golden-ring-test_silver_cinema_hall_4k: In which picture does the jewelry look the most attractive?</t>
  </si>
  <si>
    <t>dark-skin-hand_dark-skin-hand_riccardoferrari-ring_gold_cinema_hall_4k: In which picture does the jewelry look the most attractive?</t>
  </si>
  <si>
    <t>dark-skin-hand_dark-skin-hand_ch-gladysiewski_silver_cinema_hall_4k: In which picture does the jewelry look the most attractive?</t>
  </si>
  <si>
    <t>dark-skin-hand_dark-skin-hand_ch-gladysiewski_gold_cinema_hall_4k: In which picture does the jewelry look the most attractive?</t>
  </si>
  <si>
    <t>dark-skin-hand_dark-skin-hand_silver-moon-ring_silver_cinema_hall_4k: In which picture does the jewelry look the most attractive?</t>
  </si>
  <si>
    <t>dark-skin-hand_dark-skin-hand_golden-ring-test_gold_industrial_pipe_and_val...: In which picture does the jewelry look the most attractive?</t>
  </si>
  <si>
    <t>dark-skin-hand_dark-skin-hand_silver-moon-ring_gold_industrial_pipe_and_val...: In which picture does the jewelry look the most attractive?</t>
  </si>
  <si>
    <t>dark-skin-hand_dark-skin-hand_riccardoferrari-ring_silver_industrial_pipe_a...: In which picture does the jewelry look the most attractive?</t>
  </si>
  <si>
    <t>dark-skin-hand_dark-skin-hand_golden-ring-test_silver_industrial_pipe_and_v...: In which picture does the jewelry look the most attractive?</t>
  </si>
  <si>
    <t>dark-skin-hand_dark-skin-hand_riccardoferrari-ring_gold_industrial_pipe_and...: In which picture does the jewelry look the most attractive?</t>
  </si>
  <si>
    <t>dark-skin-hand_dark-skin-hand_ch-gladysiewski_silver_industrial_pipe_and_va...: In which picture does the jewelry look the most attractive?</t>
  </si>
  <si>
    <t>dark-skin-hand_dark-skin-hand_ch-gladysiewski_gold_industrial_pipe_and_valv...: In which picture does the jewelry look the most attractive?</t>
  </si>
  <si>
    <t>dark-skin-hand_dark-skin-hand_silver-moon-ring_silver_industrial_pipe_and_v...: In which picture does the jewelry look the most attractive?</t>
  </si>
  <si>
    <t>dark-skin-hand_rotate_dark-skin-hand_golden-ring-test_gold_indoor_pool_4k: In which picture does the jewelry look the most attractive?</t>
  </si>
  <si>
    <t>dark-skin-hand_rotate_dark-skin-hand_silver-moon-ring_gold_indoor_pool_4k: In which picture does the jewelry look the most attractive?</t>
  </si>
  <si>
    <t>dark-skin-hand_rotate_dark-skin-hand_riccardoferrari-ring_silver_indoor_poo...: In which picture does the jewelry look the most attractive?</t>
  </si>
  <si>
    <t>dark-skin-hand_rotate_dark-skin-hand_golden-ring-test_silver_indoor_pool_4k: In which picture does the jewelry look the most attractive?</t>
  </si>
  <si>
    <t>dark-skin-hand_rotate_dark-skin-hand_riccardoferrari-ring_gold_indoor_pool_...: In which picture does the jewelry look the most attractive?</t>
  </si>
  <si>
    <t>dark-skin-hand_rotate_dark-skin-hand_ch-gladysiewski_silver_indoor_pool_4k: In which picture does the jewelry look the most attractive?</t>
  </si>
  <si>
    <t>dark-skin-hand_rotate_dark-skin-hand_ch-gladysiewski_gold_indoor_pool_4k: In which picture does the jewelry look the most attractive?</t>
  </si>
  <si>
    <t>dark-skin-hand_rotate_dark-skin-hand_silver-moon-ring_silver_indoor_pool_4k: In which picture does the jewelry look the most attractive?</t>
  </si>
  <si>
    <t>dark-skin-hand_rotate_dark-skin-hand_golden-ring-test_gold_cinema_hall_4k: In which picture does the jewelry look the most attractive?</t>
  </si>
  <si>
    <t>dark-skin-hand_rotate_dark-skin-hand_silver-moon-ring_gold_cinema_hall_4k: In which picture does the jewelry look the most attractive?</t>
  </si>
  <si>
    <t>dark-skin-hand_rotate_dark-skin-hand_riccardoferrari-ring_silver_cinema_hal...: In which picture does the jewelry look the most attractive?</t>
  </si>
  <si>
    <t>dark-skin-hand_rotate_dark-skin-hand_golden-ring-test_silver_cinema_hall_4k: In which picture does the jewelry look the most attractive?</t>
  </si>
  <si>
    <t>dark-skin-hand_rotate_dark-skin-hand_riccardoferrari-ring_gold_cinema_hall_...: In which picture does the jewelry look the most attractive?</t>
  </si>
  <si>
    <t>dark-skin-hand_rotate_dark-skin-hand_ch-gladysiewski_silver_cinema_hall_4k: In which picture does the jewelry look the most attractive?</t>
  </si>
  <si>
    <t>dark-skin-hand_rotate_dark-skin-hand_ch-gladysiewski_gold_cinema_hall_4k: In which picture does the jewelry look the most attractive?</t>
  </si>
  <si>
    <t>dark-skin-hand_rotate_dark-skin-hand_silver-moon-ring_silver_cinema_hall_4k: In which picture does the jewelry look the most attractive?</t>
  </si>
  <si>
    <t>dark-skin-hand_rotate_dark-skin-hand_golden-ring-test_gold_industrial_pipe_...: In which picture does the jewelry look the most attractive?</t>
  </si>
  <si>
    <t>dark-skin-hand_rotate_dark-skin-hand_silver-moon-ring_gold_industrial_pipe_...: In which picture does the jewelry look the most attractive?</t>
  </si>
  <si>
    <t>dark-skin-hand_rotate_dark-skin-hand_riccardoferrari-ring_silver_industrial...: In which picture does the jewelry look the most attractive?</t>
  </si>
  <si>
    <t>dark-skin-hand_rotate_dark-skin-hand_golden-ring-test_silver_industrial_pip...: In which picture does the jewelry look the most attractive?</t>
  </si>
  <si>
    <t>dark-skin-hand_rotate_dark-skin-hand_riccardoferrari-ring_gold_industrial_p...: In which picture does the jewelry look the most attractive?</t>
  </si>
  <si>
    <t>dark-skin-hand_rotate_dark-skin-hand_ch-gladysiewski_silver_industrial_pipe...: In which picture does the jewelry look the most attractive?</t>
  </si>
  <si>
    <t>dark-skin-hand_rotate_dark-skin-hand_ch-gladysiewski_gold_industrial_pipe_a...: In which picture does the jewelry look the most attractive?</t>
  </si>
  <si>
    <t>dark-skin-hand_rotate_dark-skin-hand_silver-moon-ring_silver_industrial_pip...: In which picture does the jewelry look the most attractive?</t>
  </si>
  <si>
    <t>Total</t>
  </si>
  <si>
    <t/>
  </si>
  <si>
    <t>A</t>
  </si>
  <si>
    <t>B</t>
  </si>
  <si>
    <t>C</t>
  </si>
  <si>
    <t>Distribution Channel</t>
  </si>
  <si>
    <t xml:space="preserve">Total Count (Answering) </t>
  </si>
  <si>
    <t xml:space="preserve">Missing Count </t>
  </si>
  <si>
    <t>anonymous</t>
  </si>
  <si>
    <t xml:space="preserve">Total Count (All) </t>
  </si>
  <si>
    <t>A: diffusion</t>
  </si>
  <si>
    <t>B: hist</t>
  </si>
  <si>
    <t>C: Composite</t>
  </si>
  <si>
    <t>A: diffusion-aged-hand_choose</t>
  </si>
  <si>
    <t>A: simple with stones</t>
  </si>
  <si>
    <t>A: indoor_pool</t>
  </si>
  <si>
    <t>A: diffusion-aged-hand_choose_rotate</t>
  </si>
  <si>
    <t>A: simple without stones</t>
  </si>
  <si>
    <t>A: cinema_hall</t>
  </si>
  <si>
    <t>A: diffusion-young-hand</t>
  </si>
  <si>
    <t>A: complex with stones</t>
  </si>
  <si>
    <t>A: industrial_pipe</t>
  </si>
  <si>
    <t>A: diffusion-young-hand_rotate</t>
  </si>
  <si>
    <t>A: complex without stones</t>
  </si>
  <si>
    <t>A: diffusion-light-skin--hand</t>
  </si>
  <si>
    <t>A: diffusion-light-skin--hand_rotate</t>
  </si>
  <si>
    <t>A: diffusion-dark-skin--hand</t>
  </si>
  <si>
    <t>A: diffusion-dark-skin--hand_rotate</t>
  </si>
  <si>
    <t>B: hist-aged-hand_choose</t>
  </si>
  <si>
    <t>B: simple with stones</t>
  </si>
  <si>
    <t>B: indoor_pool</t>
  </si>
  <si>
    <t>B: hist-aged-hand_choose_rotate</t>
  </si>
  <si>
    <t>B: simple without stones</t>
  </si>
  <si>
    <t>B: cinema_hall</t>
  </si>
  <si>
    <t>B: hist-young-hand</t>
  </si>
  <si>
    <t>B: complex with stones</t>
  </si>
  <si>
    <t>B: industrial_pipe</t>
  </si>
  <si>
    <t>B: hist-young-hand_rotate</t>
  </si>
  <si>
    <t>B: complex without stones</t>
  </si>
  <si>
    <t>B: hist-light-skin--hand</t>
  </si>
  <si>
    <t>B: hist-light-skin--hand_rotate</t>
  </si>
  <si>
    <t>B: hist-dark-skin--hand</t>
  </si>
  <si>
    <t>B: hist-dark-skin--hand_rotate</t>
  </si>
  <si>
    <t>C: Composite-aged-hand_choose</t>
  </si>
  <si>
    <t>C: simple with stones</t>
  </si>
  <si>
    <t>C: indoor_pool</t>
  </si>
  <si>
    <t>C: Composite-aged-hand_choose_rotate</t>
  </si>
  <si>
    <t>C: simple without stones</t>
  </si>
  <si>
    <t>C: cinema_hall</t>
  </si>
  <si>
    <t>C: Composite-young-hand</t>
  </si>
  <si>
    <t>C: complex with stones</t>
  </si>
  <si>
    <t>C: industrial_pipe</t>
  </si>
  <si>
    <t>C: Composite-young-hand_rotate</t>
  </si>
  <si>
    <t>C: complex without stones</t>
  </si>
  <si>
    <t>C: Composite-light-skin--hand</t>
  </si>
  <si>
    <t>C: Composite-light-skin--hand_rotate</t>
  </si>
  <si>
    <t>C: Composite-dark-skin--hand</t>
  </si>
  <si>
    <t>C: Composite-dark-skin--hand_rotate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</si>
</sst>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%"/>
  </numFmts>
  <fonts count="8">
    <font>
      <sz val="11.0"/>
      <color theme="1"/>
      <name val="Calibri"/>
      <scheme val="minor"/>
    </font>
    <font>
      <sz val="11.0"/>
      <color theme="1"/>
      <name val="Courier New"/>
    </font>
    <font>
      <sz val="11.0"/>
      <color theme="0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8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F0EFF0"/>
        <bgColor rgb="FFF0EFF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/>
      <right/>
      <top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1" fillId="3" fontId="2" numFmtId="0" xfId="0" applyAlignment="1" applyBorder="1" applyFill="1" applyFont="1">
      <alignment horizontal="center" shrinkToFit="0" wrapText="1"/>
    </xf>
    <xf borderId="0" fillId="0" fontId="4" numFmtId="0" xfId="0" applyFont="1"/>
    <xf borderId="0" fillId="0" fontId="5" numFmtId="0" xfId="0" applyFont="1"/>
    <xf borderId="4" fillId="2" fontId="2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6" fillId="0" fontId="6" numFmtId="164" xfId="0" applyBorder="1" applyFont="1" applyNumberFormat="1"/>
    <xf borderId="7" fillId="0" fontId="6" numFmtId="164" xfId="0" applyBorder="1" applyFont="1" applyNumberFormat="1"/>
    <xf borderId="5" fillId="0" fontId="6" numFmtId="164" xfId="0" applyBorder="1" applyFont="1" applyNumberFormat="1"/>
    <xf borderId="8" fillId="0" fontId="3" numFmtId="0" xfId="0" applyBorder="1" applyFont="1"/>
    <xf borderId="9" fillId="0" fontId="6" numFmtId="0" xfId="0" applyBorder="1" applyFont="1"/>
    <xf borderId="10" fillId="0" fontId="6" numFmtId="164" xfId="0" applyBorder="1" applyFont="1" applyNumberFormat="1"/>
    <xf borderId="11" fillId="0" fontId="6" numFmtId="164" xfId="0" applyBorder="1" applyFont="1" applyNumberFormat="1"/>
    <xf borderId="9" fillId="0" fontId="6" numFmtId="164" xfId="0" applyBorder="1" applyFont="1" applyNumberFormat="1"/>
    <xf borderId="12" fillId="4" fontId="6" numFmtId="0" xfId="0" applyBorder="1" applyFill="1" applyFont="1"/>
    <xf borderId="13" fillId="4" fontId="6" numFmtId="165" xfId="0" applyBorder="1" applyFont="1" applyNumberFormat="1"/>
    <xf borderId="14" fillId="4" fontId="6" numFmtId="165" xfId="0" applyBorder="1" applyFont="1" applyNumberFormat="1"/>
    <xf borderId="12" fillId="4" fontId="6" numFmtId="165" xfId="0" applyBorder="1" applyFont="1" applyNumberFormat="1"/>
    <xf borderId="15" fillId="4" fontId="6" numFmtId="0" xfId="0" applyBorder="1" applyFont="1"/>
    <xf borderId="16" fillId="4" fontId="6" numFmtId="0" xfId="0" applyBorder="1" applyFont="1"/>
    <xf borderId="17" fillId="4" fontId="6" numFmtId="0" xfId="0" applyBorder="1" applyFont="1"/>
    <xf borderId="18" fillId="0" fontId="6" numFmtId="0" xfId="0" applyBorder="1" applyFont="1"/>
    <xf borderId="19" fillId="0" fontId="6" numFmtId="164" xfId="0" applyBorder="1" applyFont="1" applyNumberFormat="1"/>
    <xf borderId="20" fillId="0" fontId="6" numFmtId="164" xfId="0" applyBorder="1" applyFont="1" applyNumberFormat="1"/>
    <xf borderId="18" fillId="0" fontId="6" numFmtId="164" xfId="0" applyBorder="1" applyFont="1" applyNumberFormat="1"/>
    <xf borderId="21" fillId="0" fontId="3" numFmtId="0" xfId="0" applyBorder="1" applyFont="1"/>
    <xf borderId="22" fillId="0" fontId="7" numFmtId="0" xfId="0" applyAlignment="1" applyBorder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22" fillId="5" fontId="7" numFmtId="0" xfId="0" applyAlignment="1" applyBorder="1" applyFill="1" applyFont="1">
      <alignment vertical="bottom"/>
    </xf>
    <xf borderId="0" fillId="5" fontId="6" numFmtId="0" xfId="0" applyAlignment="1" applyFont="1">
      <alignment horizontal="right" vertical="bottom"/>
    </xf>
    <xf borderId="0" fillId="6" fontId="6" numFmtId="0" xfId="0" applyAlignment="1" applyFill="1" applyFont="1">
      <alignment vertical="bottom"/>
    </xf>
    <xf borderId="0" fillId="6" fontId="6" numFmtId="0" xfId="0" applyAlignment="1" applyFont="1">
      <alignment horizontal="right" vertical="bottom"/>
    </xf>
    <xf borderId="0" fillId="7" fontId="6" numFmtId="0" xfId="0" applyAlignment="1" applyFill="1" applyFont="1">
      <alignment vertical="bottom"/>
    </xf>
    <xf borderId="0" fillId="7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28.43"/>
    <col customWidth="1" min="2" max="2" width="24.0"/>
    <col customWidth="1" min="3" max="6" width="10.0"/>
    <col customWidth="1" min="7" max="7" width="1.43"/>
    <col customWidth="1" min="8" max="11" width="10.0"/>
    <col customWidth="1" min="12" max="12" width="1.43"/>
    <col customWidth="1" min="13" max="16" width="10.0"/>
    <col customWidth="1" min="17" max="17" width="1.43"/>
    <col customWidth="1" min="18" max="21" width="10.0"/>
    <col customWidth="1" min="22" max="22" width="1.43"/>
    <col customWidth="1" min="23" max="26" width="10.0"/>
    <col customWidth="1" min="27" max="27" width="1.43"/>
    <col customWidth="1" min="28" max="31" width="10.0"/>
    <col customWidth="1" min="32" max="32" width="1.43"/>
    <col customWidth="1" min="33" max="36" width="10.0"/>
    <col customWidth="1" min="37" max="37" width="1.43"/>
    <col customWidth="1" min="38" max="41" width="10.0"/>
    <col customWidth="1" min="42" max="42" width="1.43"/>
    <col customWidth="1" min="43" max="46" width="10.0"/>
    <col customWidth="1" min="47" max="47" width="1.43"/>
    <col customWidth="1" min="48" max="51" width="10.0"/>
    <col customWidth="1" min="52" max="52" width="1.43"/>
    <col customWidth="1" min="53" max="56" width="10.0"/>
    <col customWidth="1" min="57" max="57" width="1.43"/>
    <col customWidth="1" min="58" max="61" width="10.0"/>
    <col customWidth="1" min="62" max="62" width="1.43"/>
    <col customWidth="1" min="63" max="66" width="10.0"/>
    <col customWidth="1" min="67" max="67" width="1.43"/>
    <col customWidth="1" min="68" max="71" width="10.0"/>
    <col customWidth="1" min="72" max="72" width="1.43"/>
    <col customWidth="1" min="73" max="76" width="10.0"/>
    <col customWidth="1" min="77" max="77" width="1.43"/>
    <col customWidth="1" min="78" max="81" width="10.0"/>
    <col customWidth="1" min="82" max="82" width="1.43"/>
    <col customWidth="1" min="83" max="86" width="10.0"/>
    <col customWidth="1" min="87" max="87" width="1.43"/>
    <col customWidth="1" min="88" max="91" width="10.0"/>
    <col customWidth="1" min="92" max="92" width="1.43"/>
    <col customWidth="1" min="93" max="96" width="10.0"/>
    <col customWidth="1" min="97" max="97" width="1.43"/>
    <col customWidth="1" min="98" max="101" width="10.0"/>
    <col customWidth="1" min="102" max="102" width="1.43"/>
    <col customWidth="1" min="103" max="106" width="10.0"/>
    <col customWidth="1" min="107" max="107" width="1.43"/>
    <col customWidth="1" min="108" max="111" width="10.0"/>
    <col customWidth="1" min="112" max="112" width="1.43"/>
    <col customWidth="1" min="113" max="116" width="10.0"/>
    <col customWidth="1" min="117" max="117" width="1.43"/>
    <col customWidth="1" min="118" max="121" width="10.0"/>
    <col customWidth="1" min="122" max="122" width="1.43"/>
    <col customWidth="1" min="123" max="126" width="10.0"/>
    <col customWidth="1" min="127" max="127" width="1.43"/>
    <col customWidth="1" min="128" max="131" width="10.0"/>
    <col customWidth="1" min="132" max="132" width="1.43"/>
    <col customWidth="1" min="133" max="136" width="10.0"/>
    <col customWidth="1" min="137" max="137" width="1.43"/>
    <col customWidth="1" min="138" max="141" width="10.0"/>
    <col customWidth="1" min="142" max="142" width="1.43"/>
    <col customWidth="1" min="143" max="146" width="10.0"/>
    <col customWidth="1" min="147" max="147" width="1.43"/>
    <col customWidth="1" min="148" max="151" width="10.0"/>
    <col customWidth="1" min="152" max="152" width="1.43"/>
    <col customWidth="1" min="153" max="156" width="10.0"/>
    <col customWidth="1" min="157" max="157" width="1.43"/>
    <col customWidth="1" min="158" max="161" width="10.0"/>
    <col customWidth="1" min="162" max="162" width="1.43"/>
    <col customWidth="1" min="163" max="166" width="10.0"/>
    <col customWidth="1" min="167" max="167" width="1.43"/>
    <col customWidth="1" min="168" max="171" width="10.0"/>
    <col customWidth="1" min="172" max="172" width="1.43"/>
    <col customWidth="1" min="173" max="176" width="10.0"/>
    <col customWidth="1" min="177" max="177" width="1.43"/>
    <col customWidth="1" min="178" max="181" width="10.0"/>
    <col customWidth="1" min="182" max="182" width="1.43"/>
    <col customWidth="1" min="183" max="186" width="10.0"/>
    <col customWidth="1" min="187" max="187" width="1.43"/>
    <col customWidth="1" min="188" max="191" width="10.0"/>
    <col customWidth="1" min="192" max="192" width="1.43"/>
    <col customWidth="1" min="193" max="196" width="10.0"/>
    <col customWidth="1" min="197" max="197" width="1.43"/>
    <col customWidth="1" min="198" max="201" width="10.0"/>
    <col customWidth="1" min="202" max="202" width="1.43"/>
    <col customWidth="1" min="203" max="206" width="10.0"/>
    <col customWidth="1" min="207" max="207" width="1.43"/>
    <col customWidth="1" min="208" max="211" width="10.0"/>
    <col customWidth="1" min="212" max="212" width="1.43"/>
    <col customWidth="1" min="213" max="216" width="10.0"/>
    <col customWidth="1" min="217" max="217" width="1.43"/>
    <col customWidth="1" min="218" max="221" width="10.0"/>
    <col customWidth="1" min="222" max="222" width="1.43"/>
    <col customWidth="1" min="223" max="226" width="10.0"/>
    <col customWidth="1" min="227" max="227" width="1.43"/>
    <col customWidth="1" min="228" max="231" width="10.0"/>
    <col customWidth="1" min="232" max="232" width="1.43"/>
    <col customWidth="1" min="233" max="236" width="10.0"/>
    <col customWidth="1" min="237" max="237" width="1.43"/>
    <col customWidth="1" min="238" max="241" width="10.0"/>
    <col customWidth="1" min="242" max="242" width="1.43"/>
    <col customWidth="1" min="243" max="246" width="10.0"/>
    <col customWidth="1" min="247" max="247" width="1.43"/>
    <col customWidth="1" min="248" max="251" width="10.0"/>
    <col customWidth="1" min="252" max="252" width="1.43"/>
    <col customWidth="1" min="253" max="256" width="10.0"/>
    <col customWidth="1" min="257" max="257" width="1.43"/>
    <col customWidth="1" min="258" max="261" width="10.0"/>
    <col customWidth="1" min="262" max="262" width="1.43"/>
    <col customWidth="1" min="263" max="266" width="10.0"/>
    <col customWidth="1" min="267" max="267" width="1.43"/>
    <col customWidth="1" min="268" max="271" width="10.0"/>
    <col customWidth="1" min="272" max="272" width="1.43"/>
    <col customWidth="1" min="273" max="276" width="10.0"/>
    <col customWidth="1" min="277" max="277" width="1.43"/>
    <col customWidth="1" min="278" max="281" width="10.0"/>
    <col customWidth="1" min="282" max="282" width="1.43"/>
    <col customWidth="1" min="283" max="286" width="10.0"/>
    <col customWidth="1" min="287" max="287" width="1.43"/>
    <col customWidth="1" min="288" max="291" width="10.0"/>
    <col customWidth="1" min="292" max="292" width="1.43"/>
    <col customWidth="1" min="293" max="296" width="10.0"/>
    <col customWidth="1" min="297" max="297" width="1.43"/>
    <col customWidth="1" min="298" max="301" width="10.0"/>
    <col customWidth="1" min="302" max="302" width="1.43"/>
    <col customWidth="1" min="303" max="306" width="10.0"/>
    <col customWidth="1" min="307" max="307" width="1.43"/>
    <col customWidth="1" min="308" max="311" width="10.0"/>
    <col customWidth="1" min="312" max="312" width="1.43"/>
    <col customWidth="1" min="313" max="316" width="10.0"/>
    <col customWidth="1" min="317" max="317" width="1.43"/>
    <col customWidth="1" min="318" max="321" width="10.0"/>
    <col customWidth="1" min="322" max="322" width="1.43"/>
    <col customWidth="1" min="323" max="326" width="10.0"/>
    <col customWidth="1" min="327" max="327" width="1.43"/>
    <col customWidth="1" min="328" max="331" width="10.0"/>
    <col customWidth="1" min="332" max="332" width="1.43"/>
    <col customWidth="1" min="333" max="336" width="10.0"/>
    <col customWidth="1" min="337" max="337" width="1.43"/>
    <col customWidth="1" min="338" max="341" width="10.0"/>
    <col customWidth="1" min="342" max="342" width="1.43"/>
    <col customWidth="1" min="343" max="346" width="10.0"/>
    <col customWidth="1" min="347" max="347" width="1.43"/>
    <col customWidth="1" min="348" max="351" width="10.0"/>
    <col customWidth="1" min="352" max="352" width="1.43"/>
    <col customWidth="1" min="353" max="356" width="10.0"/>
    <col customWidth="1" min="357" max="357" width="1.43"/>
    <col customWidth="1" min="358" max="361" width="10.0"/>
    <col customWidth="1" min="362" max="362" width="1.43"/>
    <col customWidth="1" min="363" max="366" width="10.0"/>
    <col customWidth="1" min="367" max="367" width="1.43"/>
    <col customWidth="1" min="368" max="371" width="10.0"/>
    <col customWidth="1" min="372" max="372" width="1.43"/>
    <col customWidth="1" min="373" max="376" width="10.0"/>
    <col customWidth="1" min="377" max="377" width="1.43"/>
    <col customWidth="1" min="378" max="381" width="10.0"/>
    <col customWidth="1" min="382" max="382" width="1.43"/>
    <col customWidth="1" min="383" max="386" width="10.0"/>
    <col customWidth="1" min="387" max="387" width="1.43"/>
    <col customWidth="1" min="388" max="391" width="10.0"/>
    <col customWidth="1" min="392" max="392" width="1.43"/>
    <col customWidth="1" min="393" max="396" width="10.0"/>
    <col customWidth="1" min="397" max="397" width="1.43"/>
    <col customWidth="1" min="398" max="401" width="10.0"/>
    <col customWidth="1" min="402" max="402" width="1.43"/>
    <col customWidth="1" min="403" max="406" width="10.0"/>
    <col customWidth="1" min="407" max="407" width="1.43"/>
    <col customWidth="1" min="408" max="411" width="10.0"/>
    <col customWidth="1" min="412" max="412" width="1.43"/>
    <col customWidth="1" min="413" max="416" width="10.0"/>
    <col customWidth="1" min="417" max="417" width="1.43"/>
    <col customWidth="1" min="418" max="421" width="10.0"/>
    <col customWidth="1" min="422" max="422" width="1.43"/>
    <col customWidth="1" min="423" max="426" width="10.0"/>
    <col customWidth="1" min="427" max="427" width="1.43"/>
    <col customWidth="1" min="428" max="431" width="10.0"/>
    <col customWidth="1" min="432" max="432" width="1.43"/>
    <col customWidth="1" min="433" max="436" width="10.0"/>
    <col customWidth="1" min="437" max="437" width="1.43"/>
    <col customWidth="1" min="438" max="441" width="10.0"/>
    <col customWidth="1" min="442" max="442" width="1.43"/>
    <col customWidth="1" min="443" max="446" width="10.0"/>
    <col customWidth="1" min="447" max="447" width="1.43"/>
    <col customWidth="1" min="448" max="451" width="10.0"/>
    <col customWidth="1" min="452" max="452" width="1.43"/>
    <col customWidth="1" min="453" max="456" width="10.0"/>
    <col customWidth="1" min="457" max="457" width="1.43"/>
    <col customWidth="1" min="458" max="461" width="10.0"/>
    <col customWidth="1" min="462" max="462" width="1.43"/>
    <col customWidth="1" min="463" max="466" width="10.0"/>
    <col customWidth="1" min="467" max="467" width="1.43"/>
    <col customWidth="1" min="468" max="471" width="10.0"/>
    <col customWidth="1" min="472" max="472" width="1.43"/>
    <col customWidth="1" min="473" max="476" width="10.0"/>
    <col customWidth="1" min="477" max="477" width="1.43"/>
    <col customWidth="1" min="478" max="481" width="10.0"/>
    <col customWidth="1" min="482" max="482" width="1.43"/>
    <col customWidth="1" min="483" max="486" width="10.0"/>
    <col customWidth="1" min="487" max="487" width="1.43"/>
    <col customWidth="1" min="488" max="491" width="10.0"/>
    <col customWidth="1" min="492" max="492" width="1.43"/>
    <col customWidth="1" min="493" max="496" width="10.0"/>
    <col customWidth="1" min="497" max="497" width="1.43"/>
    <col customWidth="1" min="498" max="501" width="10.0"/>
    <col customWidth="1" min="502" max="502" width="1.43"/>
    <col customWidth="1" min="503" max="506" width="10.0"/>
    <col customWidth="1" min="507" max="507" width="1.43"/>
    <col customWidth="1" min="508" max="511" width="10.0"/>
    <col customWidth="1" min="512" max="512" width="1.43"/>
    <col customWidth="1" min="513" max="516" width="10.0"/>
    <col customWidth="1" min="517" max="517" width="1.43"/>
    <col customWidth="1" min="518" max="521" width="10.0"/>
    <col customWidth="1" min="522" max="522" width="1.43"/>
    <col customWidth="1" min="523" max="526" width="10.0"/>
    <col customWidth="1" min="527" max="527" width="1.43"/>
    <col customWidth="1" min="528" max="531" width="10.0"/>
    <col customWidth="1" min="532" max="532" width="1.43"/>
    <col customWidth="1" min="533" max="536" width="10.0"/>
    <col customWidth="1" min="537" max="537" width="1.43"/>
    <col customWidth="1" min="538" max="541" width="10.0"/>
    <col customWidth="1" min="542" max="542" width="1.43"/>
    <col customWidth="1" min="543" max="546" width="10.0"/>
    <col customWidth="1" min="547" max="547" width="1.43"/>
    <col customWidth="1" min="548" max="551" width="10.0"/>
    <col customWidth="1" min="552" max="552" width="1.43"/>
    <col customWidth="1" min="553" max="556" width="10.0"/>
    <col customWidth="1" min="557" max="557" width="1.43"/>
    <col customWidth="1" min="558" max="561" width="10.0"/>
    <col customWidth="1" min="562" max="562" width="1.43"/>
    <col customWidth="1" min="563" max="566" width="10.0"/>
    <col customWidth="1" min="567" max="567" width="1.43"/>
    <col customWidth="1" min="568" max="571" width="10.0"/>
    <col customWidth="1" min="572" max="572" width="1.43"/>
    <col customWidth="1" min="573" max="576" width="10.0"/>
    <col customWidth="1" min="577" max="577" width="1.43"/>
    <col customWidth="1" min="578" max="581" width="10.0"/>
    <col customWidth="1" min="582" max="582" width="1.43"/>
    <col customWidth="1" min="583" max="586" width="10.0"/>
    <col customWidth="1" min="587" max="587" width="1.43"/>
    <col customWidth="1" min="588" max="591" width="10.0"/>
    <col customWidth="1" min="592" max="592" width="1.43"/>
    <col customWidth="1" min="593" max="596" width="10.0"/>
    <col customWidth="1" min="597" max="597" width="1.43"/>
    <col customWidth="1" min="598" max="601" width="10.0"/>
    <col customWidth="1" min="602" max="602" width="1.43"/>
    <col customWidth="1" min="603" max="606" width="10.0"/>
    <col customWidth="1" min="607" max="607" width="1.43"/>
    <col customWidth="1" min="608" max="611" width="10.0"/>
    <col customWidth="1" min="612" max="612" width="1.43"/>
    <col customWidth="1" min="613" max="616" width="10.0"/>
    <col customWidth="1" min="617" max="617" width="1.43"/>
    <col customWidth="1" min="618" max="621" width="10.0"/>
    <col customWidth="1" min="622" max="622" width="1.43"/>
    <col customWidth="1" min="623" max="626" width="10.0"/>
    <col customWidth="1" min="627" max="627" width="1.43"/>
    <col customWidth="1" min="628" max="631" width="10.0"/>
    <col customWidth="1" min="632" max="632" width="1.43"/>
    <col customWidth="1" min="633" max="636" width="10.0"/>
    <col customWidth="1" min="637" max="637" width="1.43"/>
    <col customWidth="1" min="638" max="641" width="10.0"/>
    <col customWidth="1" min="642" max="642" width="1.43"/>
    <col customWidth="1" min="643" max="646" width="10.0"/>
    <col customWidth="1" min="647" max="647" width="1.43"/>
    <col customWidth="1" min="648" max="651" width="10.0"/>
    <col customWidth="1" min="652" max="652" width="1.43"/>
    <col customWidth="1" min="653" max="656" width="10.0"/>
    <col customWidth="1" min="657" max="657" width="1.43"/>
    <col customWidth="1" min="658" max="661" width="10.0"/>
    <col customWidth="1" min="662" max="662" width="1.43"/>
    <col customWidth="1" min="663" max="666" width="10.0"/>
    <col customWidth="1" min="667" max="667" width="1.43"/>
    <col customWidth="1" min="668" max="671" width="10.0"/>
    <col customWidth="1" min="672" max="672" width="1.43"/>
    <col customWidth="1" min="673" max="676" width="10.0"/>
    <col customWidth="1" min="677" max="677" width="1.43"/>
    <col customWidth="1" min="678" max="681" width="10.0"/>
    <col customWidth="1" min="682" max="682" width="1.43"/>
    <col customWidth="1" min="683" max="686" width="10.0"/>
    <col customWidth="1" min="687" max="687" width="1.43"/>
    <col customWidth="1" min="688" max="691" width="10.0"/>
    <col customWidth="1" min="692" max="692" width="1.43"/>
    <col customWidth="1" min="693" max="696" width="10.0"/>
    <col customWidth="1" min="697" max="697" width="1.43"/>
    <col customWidth="1" min="698" max="701" width="10.0"/>
    <col customWidth="1" min="702" max="702" width="1.43"/>
    <col customWidth="1" min="703" max="706" width="10.0"/>
    <col customWidth="1" min="707" max="707" width="1.43"/>
    <col customWidth="1" min="708" max="711" width="10.0"/>
    <col customWidth="1" min="712" max="712" width="1.43"/>
    <col customWidth="1" min="713" max="716" width="10.0"/>
    <col customWidth="1" min="717" max="717" width="1.43"/>
    <col customWidth="1" min="718" max="721" width="10.0"/>
    <col customWidth="1" min="722" max="722" width="1.43"/>
    <col customWidth="1" min="723" max="726" width="10.0"/>
    <col customWidth="1" min="727" max="727" width="1.43"/>
    <col customWidth="1" min="728" max="731" width="10.0"/>
    <col customWidth="1" min="732" max="732" width="1.43"/>
    <col customWidth="1" min="733" max="736" width="10.0"/>
    <col customWidth="1" min="737" max="737" width="1.43"/>
    <col customWidth="1" min="738" max="741" width="10.0"/>
    <col customWidth="1" min="742" max="742" width="1.43"/>
    <col customWidth="1" min="743" max="746" width="10.0"/>
    <col customWidth="1" min="747" max="747" width="1.43"/>
    <col customWidth="1" min="748" max="751" width="10.0"/>
    <col customWidth="1" min="752" max="752" width="1.43"/>
    <col customWidth="1" min="753" max="756" width="10.0"/>
    <col customWidth="1" min="757" max="757" width="1.43"/>
    <col customWidth="1" min="758" max="761" width="10.0"/>
    <col customWidth="1" min="762" max="762" width="1.43"/>
    <col customWidth="1" min="763" max="766" width="10.0"/>
    <col customWidth="1" min="767" max="767" width="1.43"/>
    <col customWidth="1" min="768" max="771" width="10.0"/>
    <col customWidth="1" min="772" max="772" width="1.43"/>
    <col customWidth="1" min="773" max="776" width="10.0"/>
    <col customWidth="1" min="777" max="777" width="1.43"/>
    <col customWidth="1" min="778" max="781" width="10.0"/>
    <col customWidth="1" min="782" max="782" width="1.43"/>
    <col customWidth="1" min="783" max="786" width="10.0"/>
    <col customWidth="1" min="787" max="787" width="1.43"/>
    <col customWidth="1" min="788" max="791" width="10.0"/>
    <col customWidth="1" min="792" max="792" width="1.43"/>
    <col customWidth="1" min="793" max="796" width="10.0"/>
    <col customWidth="1" min="797" max="797" width="1.43"/>
    <col customWidth="1" min="798" max="801" width="10.0"/>
    <col customWidth="1" min="802" max="802" width="1.43"/>
    <col customWidth="1" min="803" max="806" width="10.0"/>
    <col customWidth="1" min="807" max="807" width="1.43"/>
    <col customWidth="1" min="808" max="811" width="10.0"/>
    <col customWidth="1" min="812" max="812" width="1.43"/>
    <col customWidth="1" min="813" max="816" width="10.0"/>
    <col customWidth="1" min="817" max="817" width="1.43"/>
    <col customWidth="1" min="818" max="821" width="10.0"/>
    <col customWidth="1" min="822" max="822" width="1.43"/>
    <col customWidth="1" min="823" max="826" width="10.0"/>
    <col customWidth="1" min="827" max="827" width="1.43"/>
    <col customWidth="1" min="828" max="831" width="10.0"/>
    <col customWidth="1" min="832" max="832" width="1.43"/>
    <col customWidth="1" min="833" max="836" width="10.0"/>
    <col customWidth="1" min="837" max="837" width="1.43"/>
    <col customWidth="1" min="838" max="841" width="10.0"/>
    <col customWidth="1" min="842" max="842" width="1.43"/>
    <col customWidth="1" min="843" max="846" width="10.0"/>
    <col customWidth="1" min="847" max="847" width="1.43"/>
    <col customWidth="1" min="848" max="851" width="10.0"/>
    <col customWidth="1" min="852" max="852" width="1.43"/>
    <col customWidth="1" min="853" max="856" width="10.0"/>
    <col customWidth="1" min="857" max="857" width="1.43"/>
    <col customWidth="1" min="858" max="861" width="10.0"/>
    <col customWidth="1" min="862" max="862" width="1.43"/>
    <col customWidth="1" min="863" max="866" width="10.0"/>
    <col customWidth="1" min="867" max="867" width="1.43"/>
    <col customWidth="1" min="868" max="871" width="10.0"/>
    <col customWidth="1" min="872" max="872" width="1.43"/>
    <col customWidth="1" min="873" max="876" width="10.0"/>
    <col customWidth="1" min="877" max="877" width="1.43"/>
    <col customWidth="1" min="878" max="881" width="10.0"/>
    <col customWidth="1" min="882" max="882" width="1.43"/>
    <col customWidth="1" min="883" max="886" width="10.0"/>
    <col customWidth="1" min="887" max="887" width="1.43"/>
    <col customWidth="1" min="888" max="891" width="10.0"/>
    <col customWidth="1" min="892" max="892" width="1.43"/>
    <col customWidth="1" min="893" max="896" width="10.0"/>
    <col customWidth="1" min="897" max="897" width="1.43"/>
    <col customWidth="1" min="898" max="901" width="10.0"/>
    <col customWidth="1" min="902" max="902" width="1.43"/>
    <col customWidth="1" min="903" max="906" width="10.0"/>
    <col customWidth="1" min="907" max="907" width="1.43"/>
    <col customWidth="1" min="908" max="911" width="10.0"/>
    <col customWidth="1" min="912" max="912" width="1.43"/>
    <col customWidth="1" min="913" max="916" width="10.0"/>
    <col customWidth="1" min="917" max="917" width="1.43"/>
    <col customWidth="1" min="918" max="921" width="10.0"/>
    <col customWidth="1" min="922" max="922" width="1.43"/>
    <col customWidth="1" min="923" max="926" width="10.0"/>
    <col customWidth="1" min="927" max="927" width="1.43"/>
    <col customWidth="1" min="928" max="931" width="10.0"/>
    <col customWidth="1" min="932" max="932" width="1.43"/>
    <col customWidth="1" min="933" max="936" width="10.0"/>
    <col customWidth="1" min="937" max="937" width="1.43"/>
    <col customWidth="1" min="938" max="941" width="10.0"/>
    <col customWidth="1" min="942" max="942" width="1.43"/>
    <col customWidth="1" min="943" max="946" width="10.0"/>
    <col customWidth="1" min="947" max="947" width="1.43"/>
    <col customWidth="1" min="948" max="951" width="10.0"/>
    <col customWidth="1" min="952" max="952" width="1.43"/>
    <col customWidth="1" min="953" max="956" width="10.0"/>
    <col customWidth="1" min="957" max="957" width="1.43"/>
    <col customWidth="1" min="958" max="961" width="10.0"/>
    <col customWidth="1" min="962" max="962" width="1.4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C5" s="2" t="s">
        <v>3</v>
      </c>
      <c r="D5" s="3"/>
      <c r="E5" s="3"/>
      <c r="F5" s="4"/>
      <c r="H5" s="5" t="s">
        <v>4</v>
      </c>
      <c r="I5" s="3"/>
      <c r="J5" s="3"/>
      <c r="K5" s="4"/>
      <c r="M5" s="2" t="s">
        <v>5</v>
      </c>
      <c r="N5" s="3"/>
      <c r="O5" s="3"/>
      <c r="P5" s="4"/>
      <c r="R5" s="5" t="s">
        <v>6</v>
      </c>
      <c r="S5" s="3"/>
      <c r="T5" s="3"/>
      <c r="U5" s="4"/>
      <c r="W5" s="2" t="s">
        <v>7</v>
      </c>
      <c r="X5" s="3"/>
      <c r="Y5" s="3"/>
      <c r="Z5" s="4"/>
      <c r="AB5" s="5" t="s">
        <v>8</v>
      </c>
      <c r="AC5" s="3"/>
      <c r="AD5" s="3"/>
      <c r="AE5" s="4"/>
      <c r="AG5" s="2" t="s">
        <v>9</v>
      </c>
      <c r="AH5" s="3"/>
      <c r="AI5" s="3"/>
      <c r="AJ5" s="4"/>
      <c r="AL5" s="5" t="s">
        <v>10</v>
      </c>
      <c r="AM5" s="3"/>
      <c r="AN5" s="3"/>
      <c r="AO5" s="4"/>
      <c r="AQ5" s="2" t="s">
        <v>11</v>
      </c>
      <c r="AR5" s="3"/>
      <c r="AS5" s="3"/>
      <c r="AT5" s="4"/>
      <c r="AV5" s="5" t="s">
        <v>12</v>
      </c>
      <c r="AW5" s="3"/>
      <c r="AX5" s="3"/>
      <c r="AY5" s="4"/>
      <c r="BA5" s="2" t="s">
        <v>13</v>
      </c>
      <c r="BB5" s="3"/>
      <c r="BC5" s="3"/>
      <c r="BD5" s="4"/>
      <c r="BF5" s="5" t="s">
        <v>14</v>
      </c>
      <c r="BG5" s="3"/>
      <c r="BH5" s="3"/>
      <c r="BI5" s="4"/>
      <c r="BK5" s="2" t="s">
        <v>15</v>
      </c>
      <c r="BL5" s="3"/>
      <c r="BM5" s="3"/>
      <c r="BN5" s="4"/>
      <c r="BP5" s="5" t="s">
        <v>16</v>
      </c>
      <c r="BQ5" s="3"/>
      <c r="BR5" s="3"/>
      <c r="BS5" s="4"/>
      <c r="BU5" s="2" t="s">
        <v>17</v>
      </c>
      <c r="BV5" s="3"/>
      <c r="BW5" s="3"/>
      <c r="BX5" s="4"/>
      <c r="BZ5" s="5" t="s">
        <v>18</v>
      </c>
      <c r="CA5" s="3"/>
      <c r="CB5" s="3"/>
      <c r="CC5" s="4"/>
      <c r="CE5" s="2" t="s">
        <v>19</v>
      </c>
      <c r="CF5" s="3"/>
      <c r="CG5" s="3"/>
      <c r="CH5" s="4"/>
      <c r="CJ5" s="5" t="s">
        <v>20</v>
      </c>
      <c r="CK5" s="3"/>
      <c r="CL5" s="3"/>
      <c r="CM5" s="4"/>
      <c r="CO5" s="2" t="s">
        <v>21</v>
      </c>
      <c r="CP5" s="3"/>
      <c r="CQ5" s="3"/>
      <c r="CR5" s="4"/>
      <c r="CT5" s="5" t="s">
        <v>22</v>
      </c>
      <c r="CU5" s="3"/>
      <c r="CV5" s="3"/>
      <c r="CW5" s="4"/>
      <c r="CY5" s="2" t="s">
        <v>23</v>
      </c>
      <c r="CZ5" s="3"/>
      <c r="DA5" s="3"/>
      <c r="DB5" s="4"/>
      <c r="DD5" s="5" t="s">
        <v>24</v>
      </c>
      <c r="DE5" s="3"/>
      <c r="DF5" s="3"/>
      <c r="DG5" s="4"/>
      <c r="DI5" s="2" t="s">
        <v>25</v>
      </c>
      <c r="DJ5" s="3"/>
      <c r="DK5" s="3"/>
      <c r="DL5" s="4"/>
      <c r="DN5" s="5" t="s">
        <v>26</v>
      </c>
      <c r="DO5" s="3"/>
      <c r="DP5" s="3"/>
      <c r="DQ5" s="4"/>
      <c r="DS5" s="2" t="s">
        <v>27</v>
      </c>
      <c r="DT5" s="3"/>
      <c r="DU5" s="3"/>
      <c r="DV5" s="4"/>
      <c r="DX5" s="5" t="s">
        <v>28</v>
      </c>
      <c r="DY5" s="3"/>
      <c r="DZ5" s="3"/>
      <c r="EA5" s="4"/>
      <c r="EC5" s="2" t="s">
        <v>29</v>
      </c>
      <c r="ED5" s="3"/>
      <c r="EE5" s="3"/>
      <c r="EF5" s="4"/>
      <c r="EH5" s="5" t="s">
        <v>30</v>
      </c>
      <c r="EI5" s="3"/>
      <c r="EJ5" s="3"/>
      <c r="EK5" s="4"/>
      <c r="EM5" s="2" t="s">
        <v>31</v>
      </c>
      <c r="EN5" s="3"/>
      <c r="EO5" s="3"/>
      <c r="EP5" s="4"/>
      <c r="ER5" s="5" t="s">
        <v>32</v>
      </c>
      <c r="ES5" s="3"/>
      <c r="ET5" s="3"/>
      <c r="EU5" s="4"/>
      <c r="EW5" s="2" t="s">
        <v>33</v>
      </c>
      <c r="EX5" s="3"/>
      <c r="EY5" s="3"/>
      <c r="EZ5" s="4"/>
      <c r="FB5" s="5" t="s">
        <v>34</v>
      </c>
      <c r="FC5" s="3"/>
      <c r="FD5" s="3"/>
      <c r="FE5" s="4"/>
      <c r="FG5" s="2" t="s">
        <v>35</v>
      </c>
      <c r="FH5" s="3"/>
      <c r="FI5" s="3"/>
      <c r="FJ5" s="4"/>
      <c r="FL5" s="5" t="s">
        <v>36</v>
      </c>
      <c r="FM5" s="3"/>
      <c r="FN5" s="3"/>
      <c r="FO5" s="4"/>
      <c r="FQ5" s="2" t="s">
        <v>37</v>
      </c>
      <c r="FR5" s="3"/>
      <c r="FS5" s="3"/>
      <c r="FT5" s="4"/>
      <c r="FV5" s="5" t="s">
        <v>38</v>
      </c>
      <c r="FW5" s="3"/>
      <c r="FX5" s="3"/>
      <c r="FY5" s="4"/>
      <c r="GA5" s="2" t="s">
        <v>39</v>
      </c>
      <c r="GB5" s="3"/>
      <c r="GC5" s="3"/>
      <c r="GD5" s="4"/>
      <c r="GF5" s="5" t="s">
        <v>40</v>
      </c>
      <c r="GG5" s="3"/>
      <c r="GH5" s="3"/>
      <c r="GI5" s="4"/>
      <c r="GK5" s="2" t="s">
        <v>41</v>
      </c>
      <c r="GL5" s="3"/>
      <c r="GM5" s="3"/>
      <c r="GN5" s="4"/>
      <c r="GP5" s="5" t="s">
        <v>42</v>
      </c>
      <c r="GQ5" s="3"/>
      <c r="GR5" s="3"/>
      <c r="GS5" s="4"/>
      <c r="GU5" s="2" t="s">
        <v>43</v>
      </c>
      <c r="GV5" s="3"/>
      <c r="GW5" s="3"/>
      <c r="GX5" s="4"/>
      <c r="GZ5" s="5" t="s">
        <v>44</v>
      </c>
      <c r="HA5" s="3"/>
      <c r="HB5" s="3"/>
      <c r="HC5" s="4"/>
      <c r="HE5" s="2" t="s">
        <v>45</v>
      </c>
      <c r="HF5" s="3"/>
      <c r="HG5" s="3"/>
      <c r="HH5" s="4"/>
      <c r="HJ5" s="5" t="s">
        <v>46</v>
      </c>
      <c r="HK5" s="3"/>
      <c r="HL5" s="3"/>
      <c r="HM5" s="4"/>
      <c r="HO5" s="2" t="s">
        <v>47</v>
      </c>
      <c r="HP5" s="3"/>
      <c r="HQ5" s="3"/>
      <c r="HR5" s="4"/>
      <c r="HT5" s="5" t="s">
        <v>48</v>
      </c>
      <c r="HU5" s="3"/>
      <c r="HV5" s="3"/>
      <c r="HW5" s="4"/>
      <c r="HY5" s="2" t="s">
        <v>49</v>
      </c>
      <c r="HZ5" s="3"/>
      <c r="IA5" s="3"/>
      <c r="IB5" s="4"/>
      <c r="ID5" s="5" t="s">
        <v>50</v>
      </c>
      <c r="IE5" s="3"/>
      <c r="IF5" s="3"/>
      <c r="IG5" s="4"/>
      <c r="II5" s="2" t="s">
        <v>51</v>
      </c>
      <c r="IJ5" s="3"/>
      <c r="IK5" s="3"/>
      <c r="IL5" s="4"/>
      <c r="IN5" s="5" t="s">
        <v>52</v>
      </c>
      <c r="IO5" s="3"/>
      <c r="IP5" s="3"/>
      <c r="IQ5" s="4"/>
      <c r="IS5" s="2" t="s">
        <v>53</v>
      </c>
      <c r="IT5" s="3"/>
      <c r="IU5" s="3"/>
      <c r="IV5" s="4"/>
      <c r="IX5" s="5" t="s">
        <v>54</v>
      </c>
      <c r="IY5" s="3"/>
      <c r="IZ5" s="3"/>
      <c r="JA5" s="4"/>
      <c r="JC5" s="2" t="s">
        <v>55</v>
      </c>
      <c r="JD5" s="3"/>
      <c r="JE5" s="3"/>
      <c r="JF5" s="4"/>
      <c r="JH5" s="5" t="s">
        <v>56</v>
      </c>
      <c r="JI5" s="3"/>
      <c r="JJ5" s="3"/>
      <c r="JK5" s="4"/>
      <c r="JM5" s="2" t="s">
        <v>57</v>
      </c>
      <c r="JN5" s="3"/>
      <c r="JO5" s="3"/>
      <c r="JP5" s="4"/>
      <c r="JR5" s="5" t="s">
        <v>58</v>
      </c>
      <c r="JS5" s="3"/>
      <c r="JT5" s="3"/>
      <c r="JU5" s="4"/>
      <c r="JW5" s="2" t="s">
        <v>59</v>
      </c>
      <c r="JX5" s="3"/>
      <c r="JY5" s="3"/>
      <c r="JZ5" s="4"/>
      <c r="KB5" s="5" t="s">
        <v>60</v>
      </c>
      <c r="KC5" s="3"/>
      <c r="KD5" s="3"/>
      <c r="KE5" s="4"/>
      <c r="KG5" s="2" t="s">
        <v>61</v>
      </c>
      <c r="KH5" s="3"/>
      <c r="KI5" s="3"/>
      <c r="KJ5" s="4"/>
      <c r="KL5" s="5" t="s">
        <v>62</v>
      </c>
      <c r="KM5" s="3"/>
      <c r="KN5" s="3"/>
      <c r="KO5" s="4"/>
      <c r="KQ5" s="2" t="s">
        <v>63</v>
      </c>
      <c r="KR5" s="3"/>
      <c r="KS5" s="3"/>
      <c r="KT5" s="4"/>
      <c r="KV5" s="5" t="s">
        <v>64</v>
      </c>
      <c r="KW5" s="3"/>
      <c r="KX5" s="3"/>
      <c r="KY5" s="4"/>
      <c r="LA5" s="2" t="s">
        <v>65</v>
      </c>
      <c r="LB5" s="3"/>
      <c r="LC5" s="3"/>
      <c r="LD5" s="4"/>
      <c r="LF5" s="5" t="s">
        <v>66</v>
      </c>
      <c r="LG5" s="3"/>
      <c r="LH5" s="3"/>
      <c r="LI5" s="4"/>
      <c r="LK5" s="2" t="s">
        <v>67</v>
      </c>
      <c r="LL5" s="3"/>
      <c r="LM5" s="3"/>
      <c r="LN5" s="4"/>
      <c r="LP5" s="5" t="s">
        <v>68</v>
      </c>
      <c r="LQ5" s="3"/>
      <c r="LR5" s="3"/>
      <c r="LS5" s="4"/>
      <c r="LU5" s="2" t="s">
        <v>69</v>
      </c>
      <c r="LV5" s="3"/>
      <c r="LW5" s="3"/>
      <c r="LX5" s="4"/>
      <c r="LZ5" s="5" t="s">
        <v>70</v>
      </c>
      <c r="MA5" s="3"/>
      <c r="MB5" s="3"/>
      <c r="MC5" s="4"/>
      <c r="ME5" s="2" t="s">
        <v>71</v>
      </c>
      <c r="MF5" s="3"/>
      <c r="MG5" s="3"/>
      <c r="MH5" s="4"/>
      <c r="MJ5" s="5" t="s">
        <v>72</v>
      </c>
      <c r="MK5" s="3"/>
      <c r="ML5" s="3"/>
      <c r="MM5" s="4"/>
      <c r="MO5" s="2" t="s">
        <v>73</v>
      </c>
      <c r="MP5" s="3"/>
      <c r="MQ5" s="3"/>
      <c r="MR5" s="4"/>
      <c r="MT5" s="5" t="s">
        <v>74</v>
      </c>
      <c r="MU5" s="3"/>
      <c r="MV5" s="3"/>
      <c r="MW5" s="4"/>
      <c r="MY5" s="2" t="s">
        <v>75</v>
      </c>
      <c r="MZ5" s="3"/>
      <c r="NA5" s="3"/>
      <c r="NB5" s="4"/>
      <c r="ND5" s="5" t="s">
        <v>76</v>
      </c>
      <c r="NE5" s="3"/>
      <c r="NF5" s="3"/>
      <c r="NG5" s="4"/>
      <c r="NI5" s="2" t="s">
        <v>77</v>
      </c>
      <c r="NJ5" s="3"/>
      <c r="NK5" s="3"/>
      <c r="NL5" s="4"/>
      <c r="NN5" s="5" t="s">
        <v>78</v>
      </c>
      <c r="NO5" s="3"/>
      <c r="NP5" s="3"/>
      <c r="NQ5" s="4"/>
      <c r="NS5" s="2" t="s">
        <v>79</v>
      </c>
      <c r="NT5" s="3"/>
      <c r="NU5" s="3"/>
      <c r="NV5" s="4"/>
      <c r="NX5" s="5" t="s">
        <v>80</v>
      </c>
      <c r="NY5" s="3"/>
      <c r="NZ5" s="3"/>
      <c r="OA5" s="4"/>
      <c r="OC5" s="2" t="s">
        <v>81</v>
      </c>
      <c r="OD5" s="3"/>
      <c r="OE5" s="3"/>
      <c r="OF5" s="4"/>
      <c r="OH5" s="5" t="s">
        <v>82</v>
      </c>
      <c r="OI5" s="3"/>
      <c r="OJ5" s="3"/>
      <c r="OK5" s="4"/>
      <c r="OM5" s="2" t="s">
        <v>83</v>
      </c>
      <c r="ON5" s="3"/>
      <c r="OO5" s="3"/>
      <c r="OP5" s="4"/>
      <c r="OR5" s="5" t="s">
        <v>84</v>
      </c>
      <c r="OS5" s="3"/>
      <c r="OT5" s="3"/>
      <c r="OU5" s="4"/>
      <c r="OW5" s="2" t="s">
        <v>85</v>
      </c>
      <c r="OX5" s="3"/>
      <c r="OY5" s="3"/>
      <c r="OZ5" s="4"/>
      <c r="PB5" s="5" t="s">
        <v>86</v>
      </c>
      <c r="PC5" s="3"/>
      <c r="PD5" s="3"/>
      <c r="PE5" s="4"/>
      <c r="PG5" s="2" t="s">
        <v>87</v>
      </c>
      <c r="PH5" s="3"/>
      <c r="PI5" s="3"/>
      <c r="PJ5" s="4"/>
      <c r="PL5" s="5" t="s">
        <v>88</v>
      </c>
      <c r="PM5" s="3"/>
      <c r="PN5" s="3"/>
      <c r="PO5" s="4"/>
      <c r="PQ5" s="2" t="s">
        <v>89</v>
      </c>
      <c r="PR5" s="3"/>
      <c r="PS5" s="3"/>
      <c r="PT5" s="4"/>
      <c r="PV5" s="5" t="s">
        <v>90</v>
      </c>
      <c r="PW5" s="3"/>
      <c r="PX5" s="3"/>
      <c r="PY5" s="4"/>
      <c r="QA5" s="2" t="s">
        <v>91</v>
      </c>
      <c r="QB5" s="3"/>
      <c r="QC5" s="3"/>
      <c r="QD5" s="4"/>
      <c r="QF5" s="5" t="s">
        <v>92</v>
      </c>
      <c r="QG5" s="3"/>
      <c r="QH5" s="3"/>
      <c r="QI5" s="4"/>
      <c r="QK5" s="2" t="s">
        <v>93</v>
      </c>
      <c r="QL5" s="3"/>
      <c r="QM5" s="3"/>
      <c r="QN5" s="4"/>
      <c r="QP5" s="5" t="s">
        <v>94</v>
      </c>
      <c r="QQ5" s="3"/>
      <c r="QR5" s="3"/>
      <c r="QS5" s="4"/>
      <c r="QU5" s="2" t="s">
        <v>95</v>
      </c>
      <c r="QV5" s="3"/>
      <c r="QW5" s="3"/>
      <c r="QX5" s="4"/>
      <c r="QZ5" s="5" t="s">
        <v>96</v>
      </c>
      <c r="RA5" s="3"/>
      <c r="RB5" s="3"/>
      <c r="RC5" s="4"/>
      <c r="RE5" s="2" t="s">
        <v>97</v>
      </c>
      <c r="RF5" s="3"/>
      <c r="RG5" s="3"/>
      <c r="RH5" s="4"/>
      <c r="RJ5" s="5" t="s">
        <v>98</v>
      </c>
      <c r="RK5" s="3"/>
      <c r="RL5" s="3"/>
      <c r="RM5" s="4"/>
      <c r="RO5" s="2" t="s">
        <v>99</v>
      </c>
      <c r="RP5" s="3"/>
      <c r="RQ5" s="3"/>
      <c r="RR5" s="4"/>
      <c r="RT5" s="5" t="s">
        <v>100</v>
      </c>
      <c r="RU5" s="3"/>
      <c r="RV5" s="3"/>
      <c r="RW5" s="4"/>
      <c r="RY5" s="2" t="s">
        <v>101</v>
      </c>
      <c r="RZ5" s="3"/>
      <c r="SA5" s="3"/>
      <c r="SB5" s="4"/>
      <c r="SD5" s="5" t="s">
        <v>102</v>
      </c>
      <c r="SE5" s="3"/>
      <c r="SF5" s="3"/>
      <c r="SG5" s="4"/>
      <c r="SI5" s="2" t="s">
        <v>103</v>
      </c>
      <c r="SJ5" s="3"/>
      <c r="SK5" s="3"/>
      <c r="SL5" s="4"/>
      <c r="SN5" s="5" t="s">
        <v>104</v>
      </c>
      <c r="SO5" s="3"/>
      <c r="SP5" s="3"/>
      <c r="SQ5" s="4"/>
      <c r="SS5" s="2" t="s">
        <v>105</v>
      </c>
      <c r="ST5" s="3"/>
      <c r="SU5" s="3"/>
      <c r="SV5" s="4"/>
      <c r="SX5" s="5" t="s">
        <v>106</v>
      </c>
      <c r="SY5" s="3"/>
      <c r="SZ5" s="3"/>
      <c r="TA5" s="4"/>
      <c r="TC5" s="2" t="s">
        <v>107</v>
      </c>
      <c r="TD5" s="3"/>
      <c r="TE5" s="3"/>
      <c r="TF5" s="4"/>
      <c r="TH5" s="5" t="s">
        <v>108</v>
      </c>
      <c r="TI5" s="3"/>
      <c r="TJ5" s="3"/>
      <c r="TK5" s="4"/>
      <c r="TM5" s="2" t="s">
        <v>109</v>
      </c>
      <c r="TN5" s="3"/>
      <c r="TO5" s="3"/>
      <c r="TP5" s="4"/>
      <c r="TR5" s="5" t="s">
        <v>110</v>
      </c>
      <c r="TS5" s="3"/>
      <c r="TT5" s="3"/>
      <c r="TU5" s="4"/>
      <c r="TW5" s="2" t="s">
        <v>111</v>
      </c>
      <c r="TX5" s="3"/>
      <c r="TY5" s="3"/>
      <c r="TZ5" s="4"/>
      <c r="UB5" s="5" t="s">
        <v>112</v>
      </c>
      <c r="UC5" s="3"/>
      <c r="UD5" s="3"/>
      <c r="UE5" s="4"/>
      <c r="UG5" s="2" t="s">
        <v>113</v>
      </c>
      <c r="UH5" s="3"/>
      <c r="UI5" s="3"/>
      <c r="UJ5" s="4"/>
      <c r="UL5" s="5" t="s">
        <v>114</v>
      </c>
      <c r="UM5" s="3"/>
      <c r="UN5" s="3"/>
      <c r="UO5" s="4"/>
      <c r="UQ5" s="2" t="s">
        <v>115</v>
      </c>
      <c r="UR5" s="3"/>
      <c r="US5" s="3"/>
      <c r="UT5" s="4"/>
      <c r="UV5" s="5" t="s">
        <v>116</v>
      </c>
      <c r="UW5" s="3"/>
      <c r="UX5" s="3"/>
      <c r="UY5" s="4"/>
      <c r="VA5" s="2" t="s">
        <v>117</v>
      </c>
      <c r="VB5" s="3"/>
      <c r="VC5" s="3"/>
      <c r="VD5" s="4"/>
      <c r="VF5" s="5" t="s">
        <v>118</v>
      </c>
      <c r="VG5" s="3"/>
      <c r="VH5" s="3"/>
      <c r="VI5" s="4"/>
      <c r="VK5" s="2" t="s">
        <v>119</v>
      </c>
      <c r="VL5" s="3"/>
      <c r="VM5" s="3"/>
      <c r="VN5" s="4"/>
      <c r="VP5" s="5" t="s">
        <v>120</v>
      </c>
      <c r="VQ5" s="3"/>
      <c r="VR5" s="3"/>
      <c r="VS5" s="4"/>
      <c r="VU5" s="2" t="s">
        <v>121</v>
      </c>
      <c r="VV5" s="3"/>
      <c r="VW5" s="3"/>
      <c r="VX5" s="4"/>
      <c r="VZ5" s="5" t="s">
        <v>122</v>
      </c>
      <c r="WA5" s="3"/>
      <c r="WB5" s="3"/>
      <c r="WC5" s="4"/>
      <c r="WE5" s="2" t="s">
        <v>123</v>
      </c>
      <c r="WF5" s="3"/>
      <c r="WG5" s="3"/>
      <c r="WH5" s="4"/>
      <c r="WJ5" s="5" t="s">
        <v>124</v>
      </c>
      <c r="WK5" s="3"/>
      <c r="WL5" s="3"/>
      <c r="WM5" s="4"/>
      <c r="WO5" s="2" t="s">
        <v>125</v>
      </c>
      <c r="WP5" s="3"/>
      <c r="WQ5" s="3"/>
      <c r="WR5" s="4"/>
      <c r="WT5" s="5" t="s">
        <v>126</v>
      </c>
      <c r="WU5" s="3"/>
      <c r="WV5" s="3"/>
      <c r="WW5" s="4"/>
      <c r="WY5" s="2" t="s">
        <v>127</v>
      </c>
      <c r="WZ5" s="3"/>
      <c r="XA5" s="3"/>
      <c r="XB5" s="4"/>
      <c r="XD5" s="5" t="s">
        <v>128</v>
      </c>
      <c r="XE5" s="3"/>
      <c r="XF5" s="3"/>
      <c r="XG5" s="4"/>
      <c r="XI5" s="2" t="s">
        <v>129</v>
      </c>
      <c r="XJ5" s="3"/>
      <c r="XK5" s="3"/>
      <c r="XL5" s="4"/>
      <c r="XN5" s="5" t="s">
        <v>130</v>
      </c>
      <c r="XO5" s="3"/>
      <c r="XP5" s="3"/>
      <c r="XQ5" s="4"/>
      <c r="XS5" s="2" t="s">
        <v>131</v>
      </c>
      <c r="XT5" s="3"/>
      <c r="XU5" s="3"/>
      <c r="XV5" s="4"/>
      <c r="XX5" s="5" t="s">
        <v>132</v>
      </c>
      <c r="XY5" s="3"/>
      <c r="XZ5" s="3"/>
      <c r="YA5" s="4"/>
      <c r="YC5" s="2" t="s">
        <v>133</v>
      </c>
      <c r="YD5" s="3"/>
      <c r="YE5" s="3"/>
      <c r="YF5" s="4"/>
      <c r="YH5" s="5" t="s">
        <v>134</v>
      </c>
      <c r="YI5" s="3"/>
      <c r="YJ5" s="3"/>
      <c r="YK5" s="4"/>
      <c r="YM5" s="2" t="s">
        <v>135</v>
      </c>
      <c r="YN5" s="3"/>
      <c r="YO5" s="3"/>
      <c r="YP5" s="4"/>
      <c r="YR5" s="5" t="s">
        <v>136</v>
      </c>
      <c r="YS5" s="3"/>
      <c r="YT5" s="3"/>
      <c r="YU5" s="4"/>
      <c r="YW5" s="2" t="s">
        <v>137</v>
      </c>
      <c r="YX5" s="3"/>
      <c r="YY5" s="3"/>
      <c r="YZ5" s="4"/>
      <c r="ZB5" s="5" t="s">
        <v>138</v>
      </c>
      <c r="ZC5" s="3"/>
      <c r="ZD5" s="3"/>
      <c r="ZE5" s="4"/>
      <c r="ZG5" s="2" t="s">
        <v>139</v>
      </c>
      <c r="ZH5" s="3"/>
      <c r="ZI5" s="3"/>
      <c r="ZJ5" s="4"/>
      <c r="ZL5" s="5" t="s">
        <v>140</v>
      </c>
      <c r="ZM5" s="3"/>
      <c r="ZN5" s="3"/>
      <c r="ZO5" s="4"/>
      <c r="ZQ5" s="2" t="s">
        <v>141</v>
      </c>
      <c r="ZR5" s="3"/>
      <c r="ZS5" s="3"/>
      <c r="ZT5" s="4"/>
      <c r="ZV5" s="5" t="s">
        <v>142</v>
      </c>
      <c r="ZW5" s="3"/>
      <c r="ZX5" s="3"/>
      <c r="ZY5" s="4"/>
      <c r="AAA5" s="2" t="s">
        <v>143</v>
      </c>
      <c r="AAB5" s="3"/>
      <c r="AAC5" s="3"/>
      <c r="AAD5" s="4"/>
      <c r="AAF5" s="5" t="s">
        <v>144</v>
      </c>
      <c r="AAG5" s="3"/>
      <c r="AAH5" s="3"/>
      <c r="AAI5" s="4"/>
      <c r="AAK5" s="2" t="s">
        <v>145</v>
      </c>
      <c r="AAL5" s="3"/>
      <c r="AAM5" s="3"/>
      <c r="AAN5" s="4"/>
      <c r="AAP5" s="5" t="s">
        <v>146</v>
      </c>
      <c r="AAQ5" s="3"/>
      <c r="AAR5" s="3"/>
      <c r="AAS5" s="4"/>
      <c r="AAU5" s="2" t="s">
        <v>147</v>
      </c>
      <c r="AAV5" s="3"/>
      <c r="AAW5" s="3"/>
      <c r="AAX5" s="4"/>
      <c r="AAZ5" s="5" t="s">
        <v>148</v>
      </c>
      <c r="ABA5" s="3"/>
      <c r="ABB5" s="3"/>
      <c r="ABC5" s="4"/>
      <c r="ABE5" s="2" t="s">
        <v>149</v>
      </c>
      <c r="ABF5" s="3"/>
      <c r="ABG5" s="3"/>
      <c r="ABH5" s="4"/>
      <c r="ABJ5" s="5" t="s">
        <v>150</v>
      </c>
      <c r="ABK5" s="3"/>
      <c r="ABL5" s="3"/>
      <c r="ABM5" s="4"/>
      <c r="ABO5" s="2" t="s">
        <v>151</v>
      </c>
      <c r="ABP5" s="3"/>
      <c r="ABQ5" s="3"/>
      <c r="ABR5" s="4"/>
      <c r="ABT5" s="5" t="s">
        <v>152</v>
      </c>
      <c r="ABU5" s="3"/>
      <c r="ABV5" s="3"/>
      <c r="ABW5" s="4"/>
      <c r="ABY5" s="2" t="s">
        <v>153</v>
      </c>
      <c r="ABZ5" s="3"/>
      <c r="ACA5" s="3"/>
      <c r="ACB5" s="4"/>
      <c r="ACD5" s="5" t="s">
        <v>154</v>
      </c>
      <c r="ACE5" s="3"/>
      <c r="ACF5" s="3"/>
      <c r="ACG5" s="4"/>
      <c r="ACI5" s="2" t="s">
        <v>155</v>
      </c>
      <c r="ACJ5" s="3"/>
      <c r="ACK5" s="3"/>
      <c r="ACL5" s="4"/>
      <c r="ACN5" s="5" t="s">
        <v>156</v>
      </c>
      <c r="ACO5" s="3"/>
      <c r="ACP5" s="3"/>
      <c r="ACQ5" s="4"/>
      <c r="ACS5" s="2" t="s">
        <v>157</v>
      </c>
      <c r="ACT5" s="3"/>
      <c r="ACU5" s="3"/>
      <c r="ACV5" s="4"/>
      <c r="ACX5" s="5" t="s">
        <v>158</v>
      </c>
      <c r="ACY5" s="3"/>
      <c r="ACZ5" s="3"/>
      <c r="ADA5" s="4"/>
      <c r="ADC5" s="2" t="s">
        <v>159</v>
      </c>
      <c r="ADD5" s="3"/>
      <c r="ADE5" s="3"/>
      <c r="ADF5" s="4"/>
      <c r="ADH5" s="5" t="s">
        <v>160</v>
      </c>
      <c r="ADI5" s="3"/>
      <c r="ADJ5" s="3"/>
      <c r="ADK5" s="4"/>
      <c r="ADM5" s="2" t="s">
        <v>161</v>
      </c>
      <c r="ADN5" s="3"/>
      <c r="ADO5" s="3"/>
      <c r="ADP5" s="4"/>
      <c r="ADR5" s="5" t="s">
        <v>162</v>
      </c>
      <c r="ADS5" s="3"/>
      <c r="ADT5" s="3"/>
      <c r="ADU5" s="4"/>
      <c r="ADW5" s="2" t="s">
        <v>163</v>
      </c>
      <c r="ADX5" s="3"/>
      <c r="ADY5" s="3"/>
      <c r="ADZ5" s="4"/>
      <c r="AEB5" s="5" t="s">
        <v>164</v>
      </c>
      <c r="AEC5" s="3"/>
      <c r="AED5" s="3"/>
      <c r="AEE5" s="4"/>
      <c r="AEG5" s="2" t="s">
        <v>165</v>
      </c>
      <c r="AEH5" s="3"/>
      <c r="AEI5" s="3"/>
      <c r="AEJ5" s="4"/>
      <c r="AEL5" s="5" t="s">
        <v>166</v>
      </c>
      <c r="AEM5" s="3"/>
      <c r="AEN5" s="3"/>
      <c r="AEO5" s="4"/>
      <c r="AEQ5" s="2" t="s">
        <v>167</v>
      </c>
      <c r="AER5" s="3"/>
      <c r="AES5" s="3"/>
      <c r="AET5" s="4"/>
      <c r="AEV5" s="5" t="s">
        <v>168</v>
      </c>
      <c r="AEW5" s="3"/>
      <c r="AEX5" s="3"/>
      <c r="AEY5" s="4"/>
      <c r="AFA5" s="2" t="s">
        <v>169</v>
      </c>
      <c r="AFB5" s="3"/>
      <c r="AFC5" s="3"/>
      <c r="AFD5" s="4"/>
      <c r="AFF5" s="5" t="s">
        <v>170</v>
      </c>
      <c r="AFG5" s="3"/>
      <c r="AFH5" s="3"/>
      <c r="AFI5" s="4"/>
      <c r="AFK5" s="2" t="s">
        <v>171</v>
      </c>
      <c r="AFL5" s="3"/>
      <c r="AFM5" s="3"/>
      <c r="AFN5" s="4"/>
      <c r="AFP5" s="5" t="s">
        <v>172</v>
      </c>
      <c r="AFQ5" s="3"/>
      <c r="AFR5" s="3"/>
      <c r="AFS5" s="4"/>
      <c r="AFU5" s="2" t="s">
        <v>173</v>
      </c>
      <c r="AFV5" s="3"/>
      <c r="AFW5" s="3"/>
      <c r="AFX5" s="4"/>
      <c r="AFZ5" s="5" t="s">
        <v>174</v>
      </c>
      <c r="AGA5" s="3"/>
      <c r="AGB5" s="3"/>
      <c r="AGC5" s="4"/>
      <c r="AGE5" s="2" t="s">
        <v>175</v>
      </c>
      <c r="AGF5" s="3"/>
      <c r="AGG5" s="3"/>
      <c r="AGH5" s="4"/>
      <c r="AGJ5" s="5" t="s">
        <v>176</v>
      </c>
      <c r="AGK5" s="3"/>
      <c r="AGL5" s="3"/>
      <c r="AGM5" s="4"/>
      <c r="AGO5" s="2" t="s">
        <v>177</v>
      </c>
      <c r="AGP5" s="3"/>
      <c r="AGQ5" s="3"/>
      <c r="AGR5" s="4"/>
      <c r="AGT5" s="5" t="s">
        <v>178</v>
      </c>
      <c r="AGU5" s="3"/>
      <c r="AGV5" s="3"/>
      <c r="AGW5" s="4"/>
      <c r="AGY5" s="2" t="s">
        <v>179</v>
      </c>
      <c r="AGZ5" s="3"/>
      <c r="AHA5" s="3"/>
      <c r="AHB5" s="4"/>
      <c r="AHD5" s="5" t="s">
        <v>180</v>
      </c>
      <c r="AHE5" s="3"/>
      <c r="AHF5" s="3"/>
      <c r="AHG5" s="4"/>
      <c r="AHI5" s="2" t="s">
        <v>181</v>
      </c>
      <c r="AHJ5" s="3"/>
      <c r="AHK5" s="3"/>
      <c r="AHL5" s="4"/>
      <c r="AHN5" s="5" t="s">
        <v>182</v>
      </c>
      <c r="AHO5" s="3"/>
      <c r="AHP5" s="3"/>
      <c r="AHQ5" s="4"/>
      <c r="AHS5" s="2" t="s">
        <v>183</v>
      </c>
      <c r="AHT5" s="3"/>
      <c r="AHU5" s="3"/>
      <c r="AHV5" s="4"/>
      <c r="AHX5" s="5" t="s">
        <v>184</v>
      </c>
      <c r="AHY5" s="3"/>
      <c r="AHZ5" s="3"/>
      <c r="AIA5" s="4"/>
      <c r="AIC5" s="2" t="s">
        <v>185</v>
      </c>
      <c r="AID5" s="3"/>
      <c r="AIE5" s="3"/>
      <c r="AIF5" s="4"/>
      <c r="AIH5" s="5" t="s">
        <v>186</v>
      </c>
      <c r="AII5" s="3"/>
      <c r="AIJ5" s="3"/>
      <c r="AIK5" s="4"/>
      <c r="AIM5" s="2" t="s">
        <v>187</v>
      </c>
      <c r="AIN5" s="3"/>
      <c r="AIO5" s="3"/>
      <c r="AIP5" s="4"/>
      <c r="AIR5" s="5" t="s">
        <v>188</v>
      </c>
      <c r="AIS5" s="3"/>
      <c r="AIT5" s="3"/>
      <c r="AIU5" s="4"/>
      <c r="AIW5" s="2" t="s">
        <v>189</v>
      </c>
      <c r="AIX5" s="3"/>
      <c r="AIY5" s="3"/>
      <c r="AIZ5" s="4"/>
      <c r="AJB5" s="5" t="s">
        <v>190</v>
      </c>
      <c r="AJC5" s="3"/>
      <c r="AJD5" s="3"/>
      <c r="AJE5" s="4"/>
      <c r="AJG5" s="2" t="s">
        <v>191</v>
      </c>
      <c r="AJH5" s="3"/>
      <c r="AJI5" s="3"/>
      <c r="AJJ5" s="4"/>
      <c r="AJL5" s="5" t="s">
        <v>192</v>
      </c>
      <c r="AJM5" s="3"/>
      <c r="AJN5" s="3"/>
      <c r="AJO5" s="4"/>
      <c r="AJQ5" s="2" t="s">
        <v>193</v>
      </c>
      <c r="AJR5" s="3"/>
      <c r="AJS5" s="3"/>
      <c r="AJT5" s="4"/>
      <c r="AJV5" s="5" t="s">
        <v>194</v>
      </c>
      <c r="AJW5" s="3"/>
      <c r="AJX5" s="3"/>
      <c r="AJY5" s="4"/>
    </row>
    <row r="6">
      <c r="C6" s="6" t="s">
        <v>195</v>
      </c>
      <c r="D6" s="7" t="s">
        <v>196</v>
      </c>
      <c r="E6" s="7" t="s">
        <v>196</v>
      </c>
      <c r="F6" s="7" t="s">
        <v>196</v>
      </c>
      <c r="H6" s="6" t="s">
        <v>195</v>
      </c>
      <c r="I6" s="7" t="s">
        <v>196</v>
      </c>
      <c r="J6" s="7" t="s">
        <v>196</v>
      </c>
      <c r="K6" s="7" t="s">
        <v>196</v>
      </c>
      <c r="M6" s="6" t="s">
        <v>195</v>
      </c>
      <c r="N6" s="7" t="s">
        <v>196</v>
      </c>
      <c r="O6" s="7" t="s">
        <v>196</v>
      </c>
      <c r="P6" s="7" t="s">
        <v>196</v>
      </c>
      <c r="R6" s="6" t="s">
        <v>195</v>
      </c>
      <c r="S6" s="7" t="s">
        <v>196</v>
      </c>
      <c r="T6" s="7" t="s">
        <v>196</v>
      </c>
      <c r="U6" s="7" t="s">
        <v>196</v>
      </c>
      <c r="W6" s="6" t="s">
        <v>195</v>
      </c>
      <c r="X6" s="7" t="s">
        <v>196</v>
      </c>
      <c r="Y6" s="7" t="s">
        <v>196</v>
      </c>
      <c r="Z6" s="7" t="s">
        <v>196</v>
      </c>
      <c r="AB6" s="6" t="s">
        <v>195</v>
      </c>
      <c r="AC6" s="7" t="s">
        <v>196</v>
      </c>
      <c r="AD6" s="7" t="s">
        <v>196</v>
      </c>
      <c r="AE6" s="7" t="s">
        <v>196</v>
      </c>
      <c r="AG6" s="6" t="s">
        <v>195</v>
      </c>
      <c r="AH6" s="7" t="s">
        <v>196</v>
      </c>
      <c r="AI6" s="7" t="s">
        <v>196</v>
      </c>
      <c r="AJ6" s="7" t="s">
        <v>196</v>
      </c>
      <c r="AL6" s="6" t="s">
        <v>195</v>
      </c>
      <c r="AM6" s="7" t="s">
        <v>196</v>
      </c>
      <c r="AN6" s="7" t="s">
        <v>196</v>
      </c>
      <c r="AO6" s="7" t="s">
        <v>196</v>
      </c>
      <c r="AQ6" s="6" t="s">
        <v>195</v>
      </c>
      <c r="AR6" s="7" t="s">
        <v>196</v>
      </c>
      <c r="AS6" s="7" t="s">
        <v>196</v>
      </c>
      <c r="AT6" s="7" t="s">
        <v>196</v>
      </c>
      <c r="AV6" s="6" t="s">
        <v>195</v>
      </c>
      <c r="AW6" s="7" t="s">
        <v>196</v>
      </c>
      <c r="AX6" s="7" t="s">
        <v>196</v>
      </c>
      <c r="AY6" s="7" t="s">
        <v>196</v>
      </c>
      <c r="BA6" s="6" t="s">
        <v>195</v>
      </c>
      <c r="BB6" s="7" t="s">
        <v>196</v>
      </c>
      <c r="BC6" s="7" t="s">
        <v>196</v>
      </c>
      <c r="BD6" s="7" t="s">
        <v>196</v>
      </c>
      <c r="BF6" s="6" t="s">
        <v>195</v>
      </c>
      <c r="BG6" s="7" t="s">
        <v>196</v>
      </c>
      <c r="BH6" s="7" t="s">
        <v>196</v>
      </c>
      <c r="BI6" s="7" t="s">
        <v>196</v>
      </c>
      <c r="BK6" s="6" t="s">
        <v>195</v>
      </c>
      <c r="BL6" s="7" t="s">
        <v>196</v>
      </c>
      <c r="BM6" s="7" t="s">
        <v>196</v>
      </c>
      <c r="BN6" s="7" t="s">
        <v>196</v>
      </c>
      <c r="BP6" s="6" t="s">
        <v>195</v>
      </c>
      <c r="BQ6" s="7" t="s">
        <v>196</v>
      </c>
      <c r="BR6" s="7" t="s">
        <v>196</v>
      </c>
      <c r="BS6" s="7" t="s">
        <v>196</v>
      </c>
      <c r="BU6" s="6" t="s">
        <v>195</v>
      </c>
      <c r="BV6" s="7" t="s">
        <v>196</v>
      </c>
      <c r="BW6" s="7" t="s">
        <v>196</v>
      </c>
      <c r="BX6" s="7" t="s">
        <v>196</v>
      </c>
      <c r="BZ6" s="6" t="s">
        <v>195</v>
      </c>
      <c r="CA6" s="7" t="s">
        <v>196</v>
      </c>
      <c r="CB6" s="7" t="s">
        <v>196</v>
      </c>
      <c r="CC6" s="7" t="s">
        <v>196</v>
      </c>
      <c r="CE6" s="6" t="s">
        <v>195</v>
      </c>
      <c r="CF6" s="7" t="s">
        <v>196</v>
      </c>
      <c r="CG6" s="7" t="s">
        <v>196</v>
      </c>
      <c r="CH6" s="7" t="s">
        <v>196</v>
      </c>
      <c r="CJ6" s="6" t="s">
        <v>195</v>
      </c>
      <c r="CK6" s="7" t="s">
        <v>196</v>
      </c>
      <c r="CL6" s="7" t="s">
        <v>196</v>
      </c>
      <c r="CM6" s="7" t="s">
        <v>196</v>
      </c>
      <c r="CO6" s="6" t="s">
        <v>195</v>
      </c>
      <c r="CP6" s="7" t="s">
        <v>196</v>
      </c>
      <c r="CQ6" s="7" t="s">
        <v>196</v>
      </c>
      <c r="CR6" s="7" t="s">
        <v>196</v>
      </c>
      <c r="CT6" s="6" t="s">
        <v>195</v>
      </c>
      <c r="CU6" s="7" t="s">
        <v>196</v>
      </c>
      <c r="CV6" s="7" t="s">
        <v>196</v>
      </c>
      <c r="CW6" s="7" t="s">
        <v>196</v>
      </c>
      <c r="CY6" s="6" t="s">
        <v>195</v>
      </c>
      <c r="CZ6" s="7" t="s">
        <v>196</v>
      </c>
      <c r="DA6" s="7" t="s">
        <v>196</v>
      </c>
      <c r="DB6" s="7" t="s">
        <v>196</v>
      </c>
      <c r="DD6" s="6" t="s">
        <v>195</v>
      </c>
      <c r="DE6" s="7" t="s">
        <v>196</v>
      </c>
      <c r="DF6" s="7" t="s">
        <v>196</v>
      </c>
      <c r="DG6" s="7" t="s">
        <v>196</v>
      </c>
      <c r="DI6" s="6" t="s">
        <v>195</v>
      </c>
      <c r="DJ6" s="7" t="s">
        <v>196</v>
      </c>
      <c r="DK6" s="7" t="s">
        <v>196</v>
      </c>
      <c r="DL6" s="7" t="s">
        <v>196</v>
      </c>
      <c r="DN6" s="6" t="s">
        <v>195</v>
      </c>
      <c r="DO6" s="7" t="s">
        <v>196</v>
      </c>
      <c r="DP6" s="7" t="s">
        <v>196</v>
      </c>
      <c r="DQ6" s="7" t="s">
        <v>196</v>
      </c>
      <c r="DS6" s="6" t="s">
        <v>195</v>
      </c>
      <c r="DT6" s="7" t="s">
        <v>196</v>
      </c>
      <c r="DU6" s="7" t="s">
        <v>196</v>
      </c>
      <c r="DV6" s="7" t="s">
        <v>196</v>
      </c>
      <c r="DX6" s="6" t="s">
        <v>195</v>
      </c>
      <c r="DY6" s="7" t="s">
        <v>196</v>
      </c>
      <c r="DZ6" s="7" t="s">
        <v>196</v>
      </c>
      <c r="EA6" s="7" t="s">
        <v>196</v>
      </c>
      <c r="EC6" s="6" t="s">
        <v>195</v>
      </c>
      <c r="ED6" s="7" t="s">
        <v>196</v>
      </c>
      <c r="EE6" s="7" t="s">
        <v>196</v>
      </c>
      <c r="EF6" s="7" t="s">
        <v>196</v>
      </c>
      <c r="EH6" s="6" t="s">
        <v>195</v>
      </c>
      <c r="EI6" s="7" t="s">
        <v>196</v>
      </c>
      <c r="EJ6" s="7" t="s">
        <v>196</v>
      </c>
      <c r="EK6" s="7" t="s">
        <v>196</v>
      </c>
      <c r="EM6" s="6" t="s">
        <v>195</v>
      </c>
      <c r="EN6" s="7" t="s">
        <v>196</v>
      </c>
      <c r="EO6" s="7" t="s">
        <v>196</v>
      </c>
      <c r="EP6" s="7" t="s">
        <v>196</v>
      </c>
      <c r="ER6" s="6" t="s">
        <v>195</v>
      </c>
      <c r="ES6" s="7" t="s">
        <v>196</v>
      </c>
      <c r="ET6" s="7" t="s">
        <v>196</v>
      </c>
      <c r="EU6" s="7" t="s">
        <v>196</v>
      </c>
      <c r="EW6" s="6" t="s">
        <v>195</v>
      </c>
      <c r="EX6" s="7" t="s">
        <v>196</v>
      </c>
      <c r="EY6" s="7" t="s">
        <v>196</v>
      </c>
      <c r="EZ6" s="7" t="s">
        <v>196</v>
      </c>
      <c r="FB6" s="6" t="s">
        <v>195</v>
      </c>
      <c r="FC6" s="7" t="s">
        <v>196</v>
      </c>
      <c r="FD6" s="7" t="s">
        <v>196</v>
      </c>
      <c r="FE6" s="7" t="s">
        <v>196</v>
      </c>
      <c r="FG6" s="6" t="s">
        <v>195</v>
      </c>
      <c r="FH6" s="7" t="s">
        <v>196</v>
      </c>
      <c r="FI6" s="7" t="s">
        <v>196</v>
      </c>
      <c r="FJ6" s="7" t="s">
        <v>196</v>
      </c>
      <c r="FL6" s="6" t="s">
        <v>195</v>
      </c>
      <c r="FM6" s="7" t="s">
        <v>196</v>
      </c>
      <c r="FN6" s="7" t="s">
        <v>196</v>
      </c>
      <c r="FO6" s="7" t="s">
        <v>196</v>
      </c>
      <c r="FQ6" s="6" t="s">
        <v>195</v>
      </c>
      <c r="FR6" s="7" t="s">
        <v>196</v>
      </c>
      <c r="FS6" s="7" t="s">
        <v>196</v>
      </c>
      <c r="FT6" s="7" t="s">
        <v>196</v>
      </c>
      <c r="FV6" s="6" t="s">
        <v>195</v>
      </c>
      <c r="FW6" s="7" t="s">
        <v>196</v>
      </c>
      <c r="FX6" s="7" t="s">
        <v>196</v>
      </c>
      <c r="FY6" s="7" t="s">
        <v>196</v>
      </c>
      <c r="GA6" s="6" t="s">
        <v>195</v>
      </c>
      <c r="GB6" s="7" t="s">
        <v>196</v>
      </c>
      <c r="GC6" s="7" t="s">
        <v>196</v>
      </c>
      <c r="GD6" s="7" t="s">
        <v>196</v>
      </c>
      <c r="GF6" s="6" t="s">
        <v>195</v>
      </c>
      <c r="GG6" s="7" t="s">
        <v>196</v>
      </c>
      <c r="GH6" s="7" t="s">
        <v>196</v>
      </c>
      <c r="GI6" s="7" t="s">
        <v>196</v>
      </c>
      <c r="GK6" s="6" t="s">
        <v>195</v>
      </c>
      <c r="GL6" s="7" t="s">
        <v>196</v>
      </c>
      <c r="GM6" s="7" t="s">
        <v>196</v>
      </c>
      <c r="GN6" s="7" t="s">
        <v>196</v>
      </c>
      <c r="GP6" s="6" t="s">
        <v>195</v>
      </c>
      <c r="GQ6" s="7" t="s">
        <v>196</v>
      </c>
      <c r="GR6" s="7" t="s">
        <v>196</v>
      </c>
      <c r="GS6" s="7" t="s">
        <v>196</v>
      </c>
      <c r="GU6" s="6" t="s">
        <v>195</v>
      </c>
      <c r="GV6" s="7" t="s">
        <v>196</v>
      </c>
      <c r="GW6" s="7" t="s">
        <v>196</v>
      </c>
      <c r="GX6" s="7" t="s">
        <v>196</v>
      </c>
      <c r="GZ6" s="6" t="s">
        <v>195</v>
      </c>
      <c r="HA6" s="7" t="s">
        <v>196</v>
      </c>
      <c r="HB6" s="7" t="s">
        <v>196</v>
      </c>
      <c r="HC6" s="7" t="s">
        <v>196</v>
      </c>
      <c r="HE6" s="6" t="s">
        <v>195</v>
      </c>
      <c r="HF6" s="7" t="s">
        <v>196</v>
      </c>
      <c r="HG6" s="7" t="s">
        <v>196</v>
      </c>
      <c r="HH6" s="7" t="s">
        <v>196</v>
      </c>
      <c r="HJ6" s="6" t="s">
        <v>195</v>
      </c>
      <c r="HK6" s="7" t="s">
        <v>196</v>
      </c>
      <c r="HL6" s="7" t="s">
        <v>196</v>
      </c>
      <c r="HM6" s="7" t="s">
        <v>196</v>
      </c>
      <c r="HO6" s="6" t="s">
        <v>195</v>
      </c>
      <c r="HP6" s="7" t="s">
        <v>196</v>
      </c>
      <c r="HQ6" s="7" t="s">
        <v>196</v>
      </c>
      <c r="HR6" s="7" t="s">
        <v>196</v>
      </c>
      <c r="HT6" s="6" t="s">
        <v>195</v>
      </c>
      <c r="HU6" s="7" t="s">
        <v>196</v>
      </c>
      <c r="HV6" s="7" t="s">
        <v>196</v>
      </c>
      <c r="HW6" s="7" t="s">
        <v>196</v>
      </c>
      <c r="HY6" s="6" t="s">
        <v>195</v>
      </c>
      <c r="HZ6" s="7" t="s">
        <v>196</v>
      </c>
      <c r="IA6" s="7" t="s">
        <v>196</v>
      </c>
      <c r="IB6" s="7" t="s">
        <v>196</v>
      </c>
      <c r="ID6" s="6" t="s">
        <v>195</v>
      </c>
      <c r="IE6" s="7" t="s">
        <v>196</v>
      </c>
      <c r="IF6" s="7" t="s">
        <v>196</v>
      </c>
      <c r="IG6" s="7" t="s">
        <v>196</v>
      </c>
      <c r="II6" s="6" t="s">
        <v>195</v>
      </c>
      <c r="IJ6" s="7" t="s">
        <v>196</v>
      </c>
      <c r="IK6" s="7" t="s">
        <v>196</v>
      </c>
      <c r="IL6" s="7" t="s">
        <v>196</v>
      </c>
      <c r="IN6" s="6" t="s">
        <v>195</v>
      </c>
      <c r="IO6" s="7" t="s">
        <v>196</v>
      </c>
      <c r="IP6" s="7" t="s">
        <v>196</v>
      </c>
      <c r="IQ6" s="7" t="s">
        <v>196</v>
      </c>
      <c r="IS6" s="6" t="s">
        <v>195</v>
      </c>
      <c r="IT6" s="7" t="s">
        <v>196</v>
      </c>
      <c r="IU6" s="7" t="s">
        <v>196</v>
      </c>
      <c r="IV6" s="7" t="s">
        <v>196</v>
      </c>
      <c r="IX6" s="6" t="s">
        <v>195</v>
      </c>
      <c r="IY6" s="7" t="s">
        <v>196</v>
      </c>
      <c r="IZ6" s="7" t="s">
        <v>196</v>
      </c>
      <c r="JA6" s="7" t="s">
        <v>196</v>
      </c>
      <c r="JC6" s="6" t="s">
        <v>195</v>
      </c>
      <c r="JD6" s="7" t="s">
        <v>196</v>
      </c>
      <c r="JE6" s="7" t="s">
        <v>196</v>
      </c>
      <c r="JF6" s="7" t="s">
        <v>196</v>
      </c>
      <c r="JH6" s="6" t="s">
        <v>195</v>
      </c>
      <c r="JI6" s="7" t="s">
        <v>196</v>
      </c>
      <c r="JJ6" s="7" t="s">
        <v>196</v>
      </c>
      <c r="JK6" s="7" t="s">
        <v>196</v>
      </c>
      <c r="JM6" s="6" t="s">
        <v>195</v>
      </c>
      <c r="JN6" s="7" t="s">
        <v>196</v>
      </c>
      <c r="JO6" s="7" t="s">
        <v>196</v>
      </c>
      <c r="JP6" s="7" t="s">
        <v>196</v>
      </c>
      <c r="JR6" s="6" t="s">
        <v>195</v>
      </c>
      <c r="JS6" s="7" t="s">
        <v>196</v>
      </c>
      <c r="JT6" s="7" t="s">
        <v>196</v>
      </c>
      <c r="JU6" s="7" t="s">
        <v>196</v>
      </c>
      <c r="JW6" s="6" t="s">
        <v>195</v>
      </c>
      <c r="JX6" s="7" t="s">
        <v>196</v>
      </c>
      <c r="JY6" s="7" t="s">
        <v>196</v>
      </c>
      <c r="JZ6" s="7" t="s">
        <v>196</v>
      </c>
      <c r="KB6" s="6" t="s">
        <v>195</v>
      </c>
      <c r="KC6" s="7" t="s">
        <v>196</v>
      </c>
      <c r="KD6" s="7" t="s">
        <v>196</v>
      </c>
      <c r="KE6" s="7" t="s">
        <v>196</v>
      </c>
      <c r="KG6" s="6" t="s">
        <v>195</v>
      </c>
      <c r="KH6" s="7" t="s">
        <v>196</v>
      </c>
      <c r="KI6" s="7" t="s">
        <v>196</v>
      </c>
      <c r="KJ6" s="7" t="s">
        <v>196</v>
      </c>
      <c r="KL6" s="6" t="s">
        <v>195</v>
      </c>
      <c r="KM6" s="7" t="s">
        <v>196</v>
      </c>
      <c r="KN6" s="7" t="s">
        <v>196</v>
      </c>
      <c r="KO6" s="7" t="s">
        <v>196</v>
      </c>
      <c r="KQ6" s="6" t="s">
        <v>195</v>
      </c>
      <c r="KR6" s="7" t="s">
        <v>196</v>
      </c>
      <c r="KS6" s="7" t="s">
        <v>196</v>
      </c>
      <c r="KT6" s="7" t="s">
        <v>196</v>
      </c>
      <c r="KV6" s="6" t="s">
        <v>195</v>
      </c>
      <c r="KW6" s="7" t="s">
        <v>196</v>
      </c>
      <c r="KX6" s="7" t="s">
        <v>196</v>
      </c>
      <c r="KY6" s="7" t="s">
        <v>196</v>
      </c>
      <c r="LA6" s="6" t="s">
        <v>195</v>
      </c>
      <c r="LB6" s="7" t="s">
        <v>196</v>
      </c>
      <c r="LC6" s="7" t="s">
        <v>196</v>
      </c>
      <c r="LD6" s="7" t="s">
        <v>196</v>
      </c>
      <c r="LF6" s="6" t="s">
        <v>195</v>
      </c>
      <c r="LG6" s="7" t="s">
        <v>196</v>
      </c>
      <c r="LH6" s="7" t="s">
        <v>196</v>
      </c>
      <c r="LI6" s="7" t="s">
        <v>196</v>
      </c>
      <c r="LK6" s="6" t="s">
        <v>195</v>
      </c>
      <c r="LL6" s="7" t="s">
        <v>196</v>
      </c>
      <c r="LM6" s="7" t="s">
        <v>196</v>
      </c>
      <c r="LN6" s="7" t="s">
        <v>196</v>
      </c>
      <c r="LP6" s="6" t="s">
        <v>195</v>
      </c>
      <c r="LQ6" s="7" t="s">
        <v>196</v>
      </c>
      <c r="LR6" s="7" t="s">
        <v>196</v>
      </c>
      <c r="LS6" s="7" t="s">
        <v>196</v>
      </c>
      <c r="LU6" s="6" t="s">
        <v>195</v>
      </c>
      <c r="LV6" s="7" t="s">
        <v>196</v>
      </c>
      <c r="LW6" s="7" t="s">
        <v>196</v>
      </c>
      <c r="LX6" s="7" t="s">
        <v>196</v>
      </c>
      <c r="LZ6" s="6" t="s">
        <v>195</v>
      </c>
      <c r="MA6" s="7" t="s">
        <v>196</v>
      </c>
      <c r="MB6" s="7" t="s">
        <v>196</v>
      </c>
      <c r="MC6" s="7" t="s">
        <v>196</v>
      </c>
      <c r="ME6" s="6" t="s">
        <v>195</v>
      </c>
      <c r="MF6" s="7" t="s">
        <v>196</v>
      </c>
      <c r="MG6" s="7" t="s">
        <v>196</v>
      </c>
      <c r="MH6" s="7" t="s">
        <v>196</v>
      </c>
      <c r="MJ6" s="6" t="s">
        <v>195</v>
      </c>
      <c r="MK6" s="7" t="s">
        <v>196</v>
      </c>
      <c r="ML6" s="7" t="s">
        <v>196</v>
      </c>
      <c r="MM6" s="7" t="s">
        <v>196</v>
      </c>
      <c r="MO6" s="6" t="s">
        <v>195</v>
      </c>
      <c r="MP6" s="7" t="s">
        <v>196</v>
      </c>
      <c r="MQ6" s="7" t="s">
        <v>196</v>
      </c>
      <c r="MR6" s="7" t="s">
        <v>196</v>
      </c>
      <c r="MT6" s="6" t="s">
        <v>195</v>
      </c>
      <c r="MU6" s="7" t="s">
        <v>196</v>
      </c>
      <c r="MV6" s="7" t="s">
        <v>196</v>
      </c>
      <c r="MW6" s="7" t="s">
        <v>196</v>
      </c>
      <c r="MY6" s="6" t="s">
        <v>195</v>
      </c>
      <c r="MZ6" s="7" t="s">
        <v>196</v>
      </c>
      <c r="NA6" s="7" t="s">
        <v>196</v>
      </c>
      <c r="NB6" s="7" t="s">
        <v>196</v>
      </c>
      <c r="ND6" s="6" t="s">
        <v>195</v>
      </c>
      <c r="NE6" s="7" t="s">
        <v>196</v>
      </c>
      <c r="NF6" s="7" t="s">
        <v>196</v>
      </c>
      <c r="NG6" s="7" t="s">
        <v>196</v>
      </c>
      <c r="NI6" s="6" t="s">
        <v>195</v>
      </c>
      <c r="NJ6" s="7" t="s">
        <v>196</v>
      </c>
      <c r="NK6" s="7" t="s">
        <v>196</v>
      </c>
      <c r="NL6" s="7" t="s">
        <v>196</v>
      </c>
      <c r="NN6" s="6" t="s">
        <v>195</v>
      </c>
      <c r="NO6" s="7" t="s">
        <v>196</v>
      </c>
      <c r="NP6" s="7" t="s">
        <v>196</v>
      </c>
      <c r="NQ6" s="7" t="s">
        <v>196</v>
      </c>
      <c r="NS6" s="6" t="s">
        <v>195</v>
      </c>
      <c r="NT6" s="7" t="s">
        <v>196</v>
      </c>
      <c r="NU6" s="7" t="s">
        <v>196</v>
      </c>
      <c r="NV6" s="7" t="s">
        <v>196</v>
      </c>
      <c r="NX6" s="6" t="s">
        <v>195</v>
      </c>
      <c r="NY6" s="7" t="s">
        <v>196</v>
      </c>
      <c r="NZ6" s="7" t="s">
        <v>196</v>
      </c>
      <c r="OA6" s="7" t="s">
        <v>196</v>
      </c>
      <c r="OC6" s="6" t="s">
        <v>195</v>
      </c>
      <c r="OD6" s="7" t="s">
        <v>196</v>
      </c>
      <c r="OE6" s="7" t="s">
        <v>196</v>
      </c>
      <c r="OF6" s="7" t="s">
        <v>196</v>
      </c>
      <c r="OH6" s="6" t="s">
        <v>195</v>
      </c>
      <c r="OI6" s="7" t="s">
        <v>196</v>
      </c>
      <c r="OJ6" s="7" t="s">
        <v>196</v>
      </c>
      <c r="OK6" s="7" t="s">
        <v>196</v>
      </c>
      <c r="OM6" s="6" t="s">
        <v>195</v>
      </c>
      <c r="ON6" s="7" t="s">
        <v>196</v>
      </c>
      <c r="OO6" s="7" t="s">
        <v>196</v>
      </c>
      <c r="OP6" s="7" t="s">
        <v>196</v>
      </c>
      <c r="OR6" s="6" t="s">
        <v>195</v>
      </c>
      <c r="OS6" s="7" t="s">
        <v>196</v>
      </c>
      <c r="OT6" s="7" t="s">
        <v>196</v>
      </c>
      <c r="OU6" s="7" t="s">
        <v>196</v>
      </c>
      <c r="OW6" s="6" t="s">
        <v>195</v>
      </c>
      <c r="OX6" s="7" t="s">
        <v>196</v>
      </c>
      <c r="OY6" s="7" t="s">
        <v>196</v>
      </c>
      <c r="OZ6" s="7" t="s">
        <v>196</v>
      </c>
      <c r="PB6" s="6" t="s">
        <v>195</v>
      </c>
      <c r="PC6" s="7" t="s">
        <v>196</v>
      </c>
      <c r="PD6" s="7" t="s">
        <v>196</v>
      </c>
      <c r="PE6" s="7" t="s">
        <v>196</v>
      </c>
      <c r="PG6" s="6" t="s">
        <v>195</v>
      </c>
      <c r="PH6" s="7" t="s">
        <v>196</v>
      </c>
      <c r="PI6" s="7" t="s">
        <v>196</v>
      </c>
      <c r="PJ6" s="7" t="s">
        <v>196</v>
      </c>
      <c r="PL6" s="6" t="s">
        <v>195</v>
      </c>
      <c r="PM6" s="7" t="s">
        <v>196</v>
      </c>
      <c r="PN6" s="7" t="s">
        <v>196</v>
      </c>
      <c r="PO6" s="7" t="s">
        <v>196</v>
      </c>
      <c r="PQ6" s="6" t="s">
        <v>195</v>
      </c>
      <c r="PR6" s="7" t="s">
        <v>196</v>
      </c>
      <c r="PS6" s="7" t="s">
        <v>196</v>
      </c>
      <c r="PT6" s="7" t="s">
        <v>196</v>
      </c>
      <c r="PV6" s="6" t="s">
        <v>195</v>
      </c>
      <c r="PW6" s="7" t="s">
        <v>196</v>
      </c>
      <c r="PX6" s="7" t="s">
        <v>196</v>
      </c>
      <c r="PY6" s="7" t="s">
        <v>196</v>
      </c>
      <c r="QA6" s="6" t="s">
        <v>195</v>
      </c>
      <c r="QB6" s="7" t="s">
        <v>196</v>
      </c>
      <c r="QC6" s="7" t="s">
        <v>196</v>
      </c>
      <c r="QD6" s="7" t="s">
        <v>196</v>
      </c>
      <c r="QF6" s="6" t="s">
        <v>195</v>
      </c>
      <c r="QG6" s="7" t="s">
        <v>196</v>
      </c>
      <c r="QH6" s="7" t="s">
        <v>196</v>
      </c>
      <c r="QI6" s="7" t="s">
        <v>196</v>
      </c>
      <c r="QK6" s="6" t="s">
        <v>195</v>
      </c>
      <c r="QL6" s="7" t="s">
        <v>196</v>
      </c>
      <c r="QM6" s="7" t="s">
        <v>196</v>
      </c>
      <c r="QN6" s="7" t="s">
        <v>196</v>
      </c>
      <c r="QP6" s="6" t="s">
        <v>195</v>
      </c>
      <c r="QQ6" s="7" t="s">
        <v>196</v>
      </c>
      <c r="QR6" s="7" t="s">
        <v>196</v>
      </c>
      <c r="QS6" s="7" t="s">
        <v>196</v>
      </c>
      <c r="QU6" s="6" t="s">
        <v>195</v>
      </c>
      <c r="QV6" s="7" t="s">
        <v>196</v>
      </c>
      <c r="QW6" s="7" t="s">
        <v>196</v>
      </c>
      <c r="QX6" s="7" t="s">
        <v>196</v>
      </c>
      <c r="QZ6" s="6" t="s">
        <v>195</v>
      </c>
      <c r="RA6" s="7" t="s">
        <v>196</v>
      </c>
      <c r="RB6" s="7" t="s">
        <v>196</v>
      </c>
      <c r="RC6" s="7" t="s">
        <v>196</v>
      </c>
      <c r="RE6" s="6" t="s">
        <v>195</v>
      </c>
      <c r="RF6" s="7" t="s">
        <v>196</v>
      </c>
      <c r="RG6" s="7" t="s">
        <v>196</v>
      </c>
      <c r="RH6" s="7" t="s">
        <v>196</v>
      </c>
      <c r="RJ6" s="6" t="s">
        <v>195</v>
      </c>
      <c r="RK6" s="7" t="s">
        <v>196</v>
      </c>
      <c r="RL6" s="7" t="s">
        <v>196</v>
      </c>
      <c r="RM6" s="7" t="s">
        <v>196</v>
      </c>
      <c r="RO6" s="6" t="s">
        <v>195</v>
      </c>
      <c r="RP6" s="7" t="s">
        <v>196</v>
      </c>
      <c r="RQ6" s="7" t="s">
        <v>196</v>
      </c>
      <c r="RR6" s="7" t="s">
        <v>196</v>
      </c>
      <c r="RT6" s="6" t="s">
        <v>195</v>
      </c>
      <c r="RU6" s="7" t="s">
        <v>196</v>
      </c>
      <c r="RV6" s="7" t="s">
        <v>196</v>
      </c>
      <c r="RW6" s="7" t="s">
        <v>196</v>
      </c>
      <c r="RY6" s="6" t="s">
        <v>195</v>
      </c>
      <c r="RZ6" s="7" t="s">
        <v>196</v>
      </c>
      <c r="SA6" s="7" t="s">
        <v>196</v>
      </c>
      <c r="SB6" s="7" t="s">
        <v>196</v>
      </c>
      <c r="SD6" s="6" t="s">
        <v>195</v>
      </c>
      <c r="SE6" s="7" t="s">
        <v>196</v>
      </c>
      <c r="SF6" s="7" t="s">
        <v>196</v>
      </c>
      <c r="SG6" s="7" t="s">
        <v>196</v>
      </c>
      <c r="SI6" s="6" t="s">
        <v>195</v>
      </c>
      <c r="SJ6" s="7" t="s">
        <v>196</v>
      </c>
      <c r="SK6" s="7" t="s">
        <v>196</v>
      </c>
      <c r="SL6" s="7" t="s">
        <v>196</v>
      </c>
      <c r="SN6" s="6" t="s">
        <v>195</v>
      </c>
      <c r="SO6" s="7" t="s">
        <v>196</v>
      </c>
      <c r="SP6" s="7" t="s">
        <v>196</v>
      </c>
      <c r="SQ6" s="7" t="s">
        <v>196</v>
      </c>
      <c r="SS6" s="6" t="s">
        <v>195</v>
      </c>
      <c r="ST6" s="7" t="s">
        <v>196</v>
      </c>
      <c r="SU6" s="7" t="s">
        <v>196</v>
      </c>
      <c r="SV6" s="7" t="s">
        <v>196</v>
      </c>
      <c r="SX6" s="6" t="s">
        <v>195</v>
      </c>
      <c r="SY6" s="7" t="s">
        <v>196</v>
      </c>
      <c r="SZ6" s="7" t="s">
        <v>196</v>
      </c>
      <c r="TA6" s="7" t="s">
        <v>196</v>
      </c>
      <c r="TC6" s="6" t="s">
        <v>195</v>
      </c>
      <c r="TD6" s="7" t="s">
        <v>196</v>
      </c>
      <c r="TE6" s="7" t="s">
        <v>196</v>
      </c>
      <c r="TF6" s="7" t="s">
        <v>196</v>
      </c>
      <c r="TH6" s="6" t="s">
        <v>195</v>
      </c>
      <c r="TI6" s="7" t="s">
        <v>196</v>
      </c>
      <c r="TJ6" s="7" t="s">
        <v>196</v>
      </c>
      <c r="TK6" s="7" t="s">
        <v>196</v>
      </c>
      <c r="TM6" s="6" t="s">
        <v>195</v>
      </c>
      <c r="TN6" s="7" t="s">
        <v>196</v>
      </c>
      <c r="TO6" s="7" t="s">
        <v>196</v>
      </c>
      <c r="TP6" s="7" t="s">
        <v>196</v>
      </c>
      <c r="TR6" s="6" t="s">
        <v>195</v>
      </c>
      <c r="TS6" s="7" t="s">
        <v>196</v>
      </c>
      <c r="TT6" s="7" t="s">
        <v>196</v>
      </c>
      <c r="TU6" s="7" t="s">
        <v>196</v>
      </c>
      <c r="TW6" s="6" t="s">
        <v>195</v>
      </c>
      <c r="TX6" s="7" t="s">
        <v>196</v>
      </c>
      <c r="TY6" s="7" t="s">
        <v>196</v>
      </c>
      <c r="TZ6" s="7" t="s">
        <v>196</v>
      </c>
      <c r="UB6" s="6" t="s">
        <v>195</v>
      </c>
      <c r="UC6" s="7" t="s">
        <v>196</v>
      </c>
      <c r="UD6" s="7" t="s">
        <v>196</v>
      </c>
      <c r="UE6" s="7" t="s">
        <v>196</v>
      </c>
      <c r="UG6" s="6" t="s">
        <v>195</v>
      </c>
      <c r="UH6" s="7" t="s">
        <v>196</v>
      </c>
      <c r="UI6" s="7" t="s">
        <v>196</v>
      </c>
      <c r="UJ6" s="7" t="s">
        <v>196</v>
      </c>
      <c r="UL6" s="6" t="s">
        <v>195</v>
      </c>
      <c r="UM6" s="7" t="s">
        <v>196</v>
      </c>
      <c r="UN6" s="7" t="s">
        <v>196</v>
      </c>
      <c r="UO6" s="7" t="s">
        <v>196</v>
      </c>
      <c r="UQ6" s="6" t="s">
        <v>195</v>
      </c>
      <c r="UR6" s="7" t="s">
        <v>196</v>
      </c>
      <c r="US6" s="7" t="s">
        <v>196</v>
      </c>
      <c r="UT6" s="7" t="s">
        <v>196</v>
      </c>
      <c r="UV6" s="6" t="s">
        <v>195</v>
      </c>
      <c r="UW6" s="7" t="s">
        <v>196</v>
      </c>
      <c r="UX6" s="7" t="s">
        <v>196</v>
      </c>
      <c r="UY6" s="7" t="s">
        <v>196</v>
      </c>
      <c r="VA6" s="6" t="s">
        <v>195</v>
      </c>
      <c r="VB6" s="7" t="s">
        <v>196</v>
      </c>
      <c r="VC6" s="7" t="s">
        <v>196</v>
      </c>
      <c r="VD6" s="7" t="s">
        <v>196</v>
      </c>
      <c r="VF6" s="6" t="s">
        <v>195</v>
      </c>
      <c r="VG6" s="7" t="s">
        <v>196</v>
      </c>
      <c r="VH6" s="7" t="s">
        <v>196</v>
      </c>
      <c r="VI6" s="7" t="s">
        <v>196</v>
      </c>
      <c r="VK6" s="6" t="s">
        <v>195</v>
      </c>
      <c r="VL6" s="7" t="s">
        <v>196</v>
      </c>
      <c r="VM6" s="7" t="s">
        <v>196</v>
      </c>
      <c r="VN6" s="7" t="s">
        <v>196</v>
      </c>
      <c r="VP6" s="6" t="s">
        <v>195</v>
      </c>
      <c r="VQ6" s="7" t="s">
        <v>196</v>
      </c>
      <c r="VR6" s="7" t="s">
        <v>196</v>
      </c>
      <c r="VS6" s="7" t="s">
        <v>196</v>
      </c>
      <c r="VU6" s="6" t="s">
        <v>195</v>
      </c>
      <c r="VV6" s="7" t="s">
        <v>196</v>
      </c>
      <c r="VW6" s="7" t="s">
        <v>196</v>
      </c>
      <c r="VX6" s="7" t="s">
        <v>196</v>
      </c>
      <c r="VZ6" s="6" t="s">
        <v>195</v>
      </c>
      <c r="WA6" s="7" t="s">
        <v>196</v>
      </c>
      <c r="WB6" s="7" t="s">
        <v>196</v>
      </c>
      <c r="WC6" s="7" t="s">
        <v>196</v>
      </c>
      <c r="WE6" s="6" t="s">
        <v>195</v>
      </c>
      <c r="WF6" s="7" t="s">
        <v>196</v>
      </c>
      <c r="WG6" s="7" t="s">
        <v>196</v>
      </c>
      <c r="WH6" s="7" t="s">
        <v>196</v>
      </c>
      <c r="WJ6" s="6" t="s">
        <v>195</v>
      </c>
      <c r="WK6" s="7" t="s">
        <v>196</v>
      </c>
      <c r="WL6" s="7" t="s">
        <v>196</v>
      </c>
      <c r="WM6" s="7" t="s">
        <v>196</v>
      </c>
      <c r="WO6" s="6" t="s">
        <v>195</v>
      </c>
      <c r="WP6" s="7" t="s">
        <v>196</v>
      </c>
      <c r="WQ6" s="7" t="s">
        <v>196</v>
      </c>
      <c r="WR6" s="7" t="s">
        <v>196</v>
      </c>
      <c r="WT6" s="6" t="s">
        <v>195</v>
      </c>
      <c r="WU6" s="7" t="s">
        <v>196</v>
      </c>
      <c r="WV6" s="7" t="s">
        <v>196</v>
      </c>
      <c r="WW6" s="7" t="s">
        <v>196</v>
      </c>
      <c r="WY6" s="6" t="s">
        <v>195</v>
      </c>
      <c r="WZ6" s="7" t="s">
        <v>196</v>
      </c>
      <c r="XA6" s="7" t="s">
        <v>196</v>
      </c>
      <c r="XB6" s="7" t="s">
        <v>196</v>
      </c>
      <c r="XD6" s="6" t="s">
        <v>195</v>
      </c>
      <c r="XE6" s="7" t="s">
        <v>196</v>
      </c>
      <c r="XF6" s="7" t="s">
        <v>196</v>
      </c>
      <c r="XG6" s="7" t="s">
        <v>196</v>
      </c>
      <c r="XI6" s="6" t="s">
        <v>195</v>
      </c>
      <c r="XJ6" s="7" t="s">
        <v>196</v>
      </c>
      <c r="XK6" s="7" t="s">
        <v>196</v>
      </c>
      <c r="XL6" s="7" t="s">
        <v>196</v>
      </c>
      <c r="XN6" s="6" t="s">
        <v>195</v>
      </c>
      <c r="XO6" s="7" t="s">
        <v>196</v>
      </c>
      <c r="XP6" s="7" t="s">
        <v>196</v>
      </c>
      <c r="XQ6" s="7" t="s">
        <v>196</v>
      </c>
      <c r="XS6" s="6" t="s">
        <v>195</v>
      </c>
      <c r="XT6" s="7" t="s">
        <v>196</v>
      </c>
      <c r="XU6" s="7" t="s">
        <v>196</v>
      </c>
      <c r="XV6" s="7" t="s">
        <v>196</v>
      </c>
      <c r="XX6" s="6" t="s">
        <v>195</v>
      </c>
      <c r="XY6" s="7" t="s">
        <v>196</v>
      </c>
      <c r="XZ6" s="7" t="s">
        <v>196</v>
      </c>
      <c r="YA6" s="7" t="s">
        <v>196</v>
      </c>
      <c r="YC6" s="6" t="s">
        <v>195</v>
      </c>
      <c r="YD6" s="7" t="s">
        <v>196</v>
      </c>
      <c r="YE6" s="7" t="s">
        <v>196</v>
      </c>
      <c r="YF6" s="7" t="s">
        <v>196</v>
      </c>
      <c r="YH6" s="6" t="s">
        <v>195</v>
      </c>
      <c r="YI6" s="7" t="s">
        <v>196</v>
      </c>
      <c r="YJ6" s="7" t="s">
        <v>196</v>
      </c>
      <c r="YK6" s="7" t="s">
        <v>196</v>
      </c>
      <c r="YM6" s="6" t="s">
        <v>195</v>
      </c>
      <c r="YN6" s="7" t="s">
        <v>196</v>
      </c>
      <c r="YO6" s="7" t="s">
        <v>196</v>
      </c>
      <c r="YP6" s="7" t="s">
        <v>196</v>
      </c>
      <c r="YR6" s="6" t="s">
        <v>195</v>
      </c>
      <c r="YS6" s="7" t="s">
        <v>196</v>
      </c>
      <c r="YT6" s="7" t="s">
        <v>196</v>
      </c>
      <c r="YU6" s="7" t="s">
        <v>196</v>
      </c>
      <c r="YW6" s="6" t="s">
        <v>195</v>
      </c>
      <c r="YX6" s="7" t="s">
        <v>196</v>
      </c>
      <c r="YY6" s="7" t="s">
        <v>196</v>
      </c>
      <c r="YZ6" s="7" t="s">
        <v>196</v>
      </c>
      <c r="ZB6" s="6" t="s">
        <v>195</v>
      </c>
      <c r="ZC6" s="7" t="s">
        <v>196</v>
      </c>
      <c r="ZD6" s="7" t="s">
        <v>196</v>
      </c>
      <c r="ZE6" s="7" t="s">
        <v>196</v>
      </c>
      <c r="ZG6" s="6" t="s">
        <v>195</v>
      </c>
      <c r="ZH6" s="7" t="s">
        <v>196</v>
      </c>
      <c r="ZI6" s="7" t="s">
        <v>196</v>
      </c>
      <c r="ZJ6" s="7" t="s">
        <v>196</v>
      </c>
      <c r="ZL6" s="6" t="s">
        <v>195</v>
      </c>
      <c r="ZM6" s="7" t="s">
        <v>196</v>
      </c>
      <c r="ZN6" s="7" t="s">
        <v>196</v>
      </c>
      <c r="ZO6" s="7" t="s">
        <v>196</v>
      </c>
      <c r="ZQ6" s="6" t="s">
        <v>195</v>
      </c>
      <c r="ZR6" s="7" t="s">
        <v>196</v>
      </c>
      <c r="ZS6" s="7" t="s">
        <v>196</v>
      </c>
      <c r="ZT6" s="7" t="s">
        <v>196</v>
      </c>
      <c r="ZV6" s="6" t="s">
        <v>195</v>
      </c>
      <c r="ZW6" s="7" t="s">
        <v>196</v>
      </c>
      <c r="ZX6" s="7" t="s">
        <v>196</v>
      </c>
      <c r="ZY6" s="7" t="s">
        <v>196</v>
      </c>
      <c r="AAA6" s="6" t="s">
        <v>195</v>
      </c>
      <c r="AAB6" s="7" t="s">
        <v>196</v>
      </c>
      <c r="AAC6" s="7" t="s">
        <v>196</v>
      </c>
      <c r="AAD6" s="7" t="s">
        <v>196</v>
      </c>
      <c r="AAF6" s="6" t="s">
        <v>195</v>
      </c>
      <c r="AAG6" s="7" t="s">
        <v>196</v>
      </c>
      <c r="AAH6" s="7" t="s">
        <v>196</v>
      </c>
      <c r="AAI6" s="7" t="s">
        <v>196</v>
      </c>
      <c r="AAK6" s="6" t="s">
        <v>195</v>
      </c>
      <c r="AAL6" s="7" t="s">
        <v>196</v>
      </c>
      <c r="AAM6" s="7" t="s">
        <v>196</v>
      </c>
      <c r="AAN6" s="7" t="s">
        <v>196</v>
      </c>
      <c r="AAP6" s="6" t="s">
        <v>195</v>
      </c>
      <c r="AAQ6" s="7" t="s">
        <v>196</v>
      </c>
      <c r="AAR6" s="7" t="s">
        <v>196</v>
      </c>
      <c r="AAS6" s="7" t="s">
        <v>196</v>
      </c>
      <c r="AAU6" s="6" t="s">
        <v>195</v>
      </c>
      <c r="AAV6" s="7" t="s">
        <v>196</v>
      </c>
      <c r="AAW6" s="7" t="s">
        <v>196</v>
      </c>
      <c r="AAX6" s="7" t="s">
        <v>196</v>
      </c>
      <c r="AAZ6" s="6" t="s">
        <v>195</v>
      </c>
      <c r="ABA6" s="7" t="s">
        <v>196</v>
      </c>
      <c r="ABB6" s="7" t="s">
        <v>196</v>
      </c>
      <c r="ABC6" s="7" t="s">
        <v>196</v>
      </c>
      <c r="ABE6" s="6" t="s">
        <v>195</v>
      </c>
      <c r="ABF6" s="7" t="s">
        <v>196</v>
      </c>
      <c r="ABG6" s="7" t="s">
        <v>196</v>
      </c>
      <c r="ABH6" s="7" t="s">
        <v>196</v>
      </c>
      <c r="ABJ6" s="6" t="s">
        <v>195</v>
      </c>
      <c r="ABK6" s="7" t="s">
        <v>196</v>
      </c>
      <c r="ABL6" s="7" t="s">
        <v>196</v>
      </c>
      <c r="ABM6" s="7" t="s">
        <v>196</v>
      </c>
      <c r="ABO6" s="6" t="s">
        <v>195</v>
      </c>
      <c r="ABP6" s="7" t="s">
        <v>196</v>
      </c>
      <c r="ABQ6" s="7" t="s">
        <v>196</v>
      </c>
      <c r="ABR6" s="7" t="s">
        <v>196</v>
      </c>
      <c r="ABT6" s="6" t="s">
        <v>195</v>
      </c>
      <c r="ABU6" s="7" t="s">
        <v>196</v>
      </c>
      <c r="ABV6" s="7" t="s">
        <v>196</v>
      </c>
      <c r="ABW6" s="7" t="s">
        <v>196</v>
      </c>
      <c r="ABY6" s="6" t="s">
        <v>195</v>
      </c>
      <c r="ABZ6" s="7" t="s">
        <v>196</v>
      </c>
      <c r="ACA6" s="7" t="s">
        <v>196</v>
      </c>
      <c r="ACB6" s="7" t="s">
        <v>196</v>
      </c>
      <c r="ACD6" s="6" t="s">
        <v>195</v>
      </c>
      <c r="ACE6" s="7" t="s">
        <v>196</v>
      </c>
      <c r="ACF6" s="7" t="s">
        <v>196</v>
      </c>
      <c r="ACG6" s="7" t="s">
        <v>196</v>
      </c>
      <c r="ACI6" s="6" t="s">
        <v>195</v>
      </c>
      <c r="ACJ6" s="7" t="s">
        <v>196</v>
      </c>
      <c r="ACK6" s="7" t="s">
        <v>196</v>
      </c>
      <c r="ACL6" s="7" t="s">
        <v>196</v>
      </c>
      <c r="ACN6" s="6" t="s">
        <v>195</v>
      </c>
      <c r="ACO6" s="7" t="s">
        <v>196</v>
      </c>
      <c r="ACP6" s="7" t="s">
        <v>196</v>
      </c>
      <c r="ACQ6" s="7" t="s">
        <v>196</v>
      </c>
      <c r="ACS6" s="6" t="s">
        <v>195</v>
      </c>
      <c r="ACT6" s="7" t="s">
        <v>196</v>
      </c>
      <c r="ACU6" s="7" t="s">
        <v>196</v>
      </c>
      <c r="ACV6" s="7" t="s">
        <v>196</v>
      </c>
      <c r="ACX6" s="6" t="s">
        <v>195</v>
      </c>
      <c r="ACY6" s="7" t="s">
        <v>196</v>
      </c>
      <c r="ACZ6" s="7" t="s">
        <v>196</v>
      </c>
      <c r="ADA6" s="7" t="s">
        <v>196</v>
      </c>
      <c r="ADC6" s="6" t="s">
        <v>195</v>
      </c>
      <c r="ADD6" s="7" t="s">
        <v>196</v>
      </c>
      <c r="ADE6" s="7" t="s">
        <v>196</v>
      </c>
      <c r="ADF6" s="7" t="s">
        <v>196</v>
      </c>
      <c r="ADH6" s="6" t="s">
        <v>195</v>
      </c>
      <c r="ADI6" s="7" t="s">
        <v>196</v>
      </c>
      <c r="ADJ6" s="7" t="s">
        <v>196</v>
      </c>
      <c r="ADK6" s="7" t="s">
        <v>196</v>
      </c>
      <c r="ADM6" s="6" t="s">
        <v>195</v>
      </c>
      <c r="ADN6" s="7" t="s">
        <v>196</v>
      </c>
      <c r="ADO6" s="7" t="s">
        <v>196</v>
      </c>
      <c r="ADP6" s="7" t="s">
        <v>196</v>
      </c>
      <c r="ADR6" s="6" t="s">
        <v>195</v>
      </c>
      <c r="ADS6" s="7" t="s">
        <v>196</v>
      </c>
      <c r="ADT6" s="7" t="s">
        <v>196</v>
      </c>
      <c r="ADU6" s="7" t="s">
        <v>196</v>
      </c>
      <c r="ADW6" s="6" t="s">
        <v>195</v>
      </c>
      <c r="ADX6" s="7" t="s">
        <v>196</v>
      </c>
      <c r="ADY6" s="7" t="s">
        <v>196</v>
      </c>
      <c r="ADZ6" s="7" t="s">
        <v>196</v>
      </c>
      <c r="AEB6" s="6" t="s">
        <v>195</v>
      </c>
      <c r="AEC6" s="7" t="s">
        <v>196</v>
      </c>
      <c r="AED6" s="7" t="s">
        <v>196</v>
      </c>
      <c r="AEE6" s="7" t="s">
        <v>196</v>
      </c>
      <c r="AEG6" s="6" t="s">
        <v>195</v>
      </c>
      <c r="AEH6" s="7" t="s">
        <v>196</v>
      </c>
      <c r="AEI6" s="7" t="s">
        <v>196</v>
      </c>
      <c r="AEJ6" s="7" t="s">
        <v>196</v>
      </c>
      <c r="AEL6" s="6" t="s">
        <v>195</v>
      </c>
      <c r="AEM6" s="7" t="s">
        <v>196</v>
      </c>
      <c r="AEN6" s="7" t="s">
        <v>196</v>
      </c>
      <c r="AEO6" s="7" t="s">
        <v>196</v>
      </c>
      <c r="AEQ6" s="6" t="s">
        <v>195</v>
      </c>
      <c r="AER6" s="7" t="s">
        <v>196</v>
      </c>
      <c r="AES6" s="7" t="s">
        <v>196</v>
      </c>
      <c r="AET6" s="7" t="s">
        <v>196</v>
      </c>
      <c r="AEV6" s="6" t="s">
        <v>195</v>
      </c>
      <c r="AEW6" s="7" t="s">
        <v>196</v>
      </c>
      <c r="AEX6" s="7" t="s">
        <v>196</v>
      </c>
      <c r="AEY6" s="7" t="s">
        <v>196</v>
      </c>
      <c r="AFA6" s="6" t="s">
        <v>195</v>
      </c>
      <c r="AFB6" s="7" t="s">
        <v>196</v>
      </c>
      <c r="AFC6" s="7" t="s">
        <v>196</v>
      </c>
      <c r="AFD6" s="7" t="s">
        <v>196</v>
      </c>
      <c r="AFF6" s="6" t="s">
        <v>195</v>
      </c>
      <c r="AFG6" s="7" t="s">
        <v>196</v>
      </c>
      <c r="AFH6" s="7" t="s">
        <v>196</v>
      </c>
      <c r="AFI6" s="7" t="s">
        <v>196</v>
      </c>
      <c r="AFK6" s="6" t="s">
        <v>195</v>
      </c>
      <c r="AFL6" s="7" t="s">
        <v>196</v>
      </c>
      <c r="AFM6" s="7" t="s">
        <v>196</v>
      </c>
      <c r="AFN6" s="7" t="s">
        <v>196</v>
      </c>
      <c r="AFP6" s="6" t="s">
        <v>195</v>
      </c>
      <c r="AFQ6" s="7" t="s">
        <v>196</v>
      </c>
      <c r="AFR6" s="7" t="s">
        <v>196</v>
      </c>
      <c r="AFS6" s="7" t="s">
        <v>196</v>
      </c>
      <c r="AFU6" s="6" t="s">
        <v>195</v>
      </c>
      <c r="AFV6" s="7" t="s">
        <v>196</v>
      </c>
      <c r="AFW6" s="7" t="s">
        <v>196</v>
      </c>
      <c r="AFX6" s="7" t="s">
        <v>196</v>
      </c>
      <c r="AFZ6" s="6" t="s">
        <v>195</v>
      </c>
      <c r="AGA6" s="7" t="s">
        <v>196</v>
      </c>
      <c r="AGB6" s="7" t="s">
        <v>196</v>
      </c>
      <c r="AGC6" s="7" t="s">
        <v>196</v>
      </c>
      <c r="AGE6" s="6" t="s">
        <v>195</v>
      </c>
      <c r="AGF6" s="7" t="s">
        <v>196</v>
      </c>
      <c r="AGG6" s="7" t="s">
        <v>196</v>
      </c>
      <c r="AGH6" s="7" t="s">
        <v>196</v>
      </c>
      <c r="AGJ6" s="6" t="s">
        <v>195</v>
      </c>
      <c r="AGK6" s="7" t="s">
        <v>196</v>
      </c>
      <c r="AGL6" s="7" t="s">
        <v>196</v>
      </c>
      <c r="AGM6" s="7" t="s">
        <v>196</v>
      </c>
      <c r="AGO6" s="6" t="s">
        <v>195</v>
      </c>
      <c r="AGP6" s="7" t="s">
        <v>196</v>
      </c>
      <c r="AGQ6" s="7" t="s">
        <v>196</v>
      </c>
      <c r="AGR6" s="7" t="s">
        <v>196</v>
      </c>
      <c r="AGT6" s="6" t="s">
        <v>195</v>
      </c>
      <c r="AGU6" s="7" t="s">
        <v>196</v>
      </c>
      <c r="AGV6" s="7" t="s">
        <v>196</v>
      </c>
      <c r="AGW6" s="7" t="s">
        <v>196</v>
      </c>
      <c r="AGY6" s="6" t="s">
        <v>195</v>
      </c>
      <c r="AGZ6" s="7" t="s">
        <v>196</v>
      </c>
      <c r="AHA6" s="7" t="s">
        <v>196</v>
      </c>
      <c r="AHB6" s="7" t="s">
        <v>196</v>
      </c>
      <c r="AHD6" s="6" t="s">
        <v>195</v>
      </c>
      <c r="AHE6" s="7" t="s">
        <v>196</v>
      </c>
      <c r="AHF6" s="7" t="s">
        <v>196</v>
      </c>
      <c r="AHG6" s="7" t="s">
        <v>196</v>
      </c>
      <c r="AHI6" s="6" t="s">
        <v>195</v>
      </c>
      <c r="AHJ6" s="7" t="s">
        <v>196</v>
      </c>
      <c r="AHK6" s="7" t="s">
        <v>196</v>
      </c>
      <c r="AHL6" s="7" t="s">
        <v>196</v>
      </c>
      <c r="AHN6" s="6" t="s">
        <v>195</v>
      </c>
      <c r="AHO6" s="7" t="s">
        <v>196</v>
      </c>
      <c r="AHP6" s="7" t="s">
        <v>196</v>
      </c>
      <c r="AHQ6" s="7" t="s">
        <v>196</v>
      </c>
      <c r="AHS6" s="6" t="s">
        <v>195</v>
      </c>
      <c r="AHT6" s="7" t="s">
        <v>196</v>
      </c>
      <c r="AHU6" s="7" t="s">
        <v>196</v>
      </c>
      <c r="AHV6" s="7" t="s">
        <v>196</v>
      </c>
      <c r="AHX6" s="6" t="s">
        <v>195</v>
      </c>
      <c r="AHY6" s="7" t="s">
        <v>196</v>
      </c>
      <c r="AHZ6" s="7" t="s">
        <v>196</v>
      </c>
      <c r="AIA6" s="7" t="s">
        <v>196</v>
      </c>
      <c r="AIC6" s="6" t="s">
        <v>195</v>
      </c>
      <c r="AID6" s="7" t="s">
        <v>196</v>
      </c>
      <c r="AIE6" s="7" t="s">
        <v>196</v>
      </c>
      <c r="AIF6" s="7" t="s">
        <v>196</v>
      </c>
      <c r="AIH6" s="6" t="s">
        <v>195</v>
      </c>
      <c r="AII6" s="7" t="s">
        <v>196</v>
      </c>
      <c r="AIJ6" s="7" t="s">
        <v>196</v>
      </c>
      <c r="AIK6" s="7" t="s">
        <v>196</v>
      </c>
      <c r="AIM6" s="6" t="s">
        <v>195</v>
      </c>
      <c r="AIN6" s="7" t="s">
        <v>196</v>
      </c>
      <c r="AIO6" s="7" t="s">
        <v>196</v>
      </c>
      <c r="AIP6" s="7" t="s">
        <v>196</v>
      </c>
      <c r="AIR6" s="6" t="s">
        <v>195</v>
      </c>
      <c r="AIS6" s="7" t="s">
        <v>196</v>
      </c>
      <c r="AIT6" s="7" t="s">
        <v>196</v>
      </c>
      <c r="AIU6" s="7" t="s">
        <v>196</v>
      </c>
      <c r="AIW6" s="6" t="s">
        <v>195</v>
      </c>
      <c r="AIX6" s="7" t="s">
        <v>196</v>
      </c>
      <c r="AIY6" s="7" t="s">
        <v>196</v>
      </c>
      <c r="AIZ6" s="7" t="s">
        <v>196</v>
      </c>
      <c r="AJB6" s="6" t="s">
        <v>195</v>
      </c>
      <c r="AJC6" s="7" t="s">
        <v>196</v>
      </c>
      <c r="AJD6" s="7" t="s">
        <v>196</v>
      </c>
      <c r="AJE6" s="7" t="s">
        <v>196</v>
      </c>
      <c r="AJG6" s="6" t="s">
        <v>195</v>
      </c>
      <c r="AJH6" s="7" t="s">
        <v>196</v>
      </c>
      <c r="AJI6" s="7" t="s">
        <v>196</v>
      </c>
      <c r="AJJ6" s="7" t="s">
        <v>196</v>
      </c>
      <c r="AJL6" s="6" t="s">
        <v>195</v>
      </c>
      <c r="AJM6" s="7" t="s">
        <v>196</v>
      </c>
      <c r="AJN6" s="7" t="s">
        <v>196</v>
      </c>
      <c r="AJO6" s="7" t="s">
        <v>196</v>
      </c>
      <c r="AJQ6" s="6" t="s">
        <v>195</v>
      </c>
      <c r="AJR6" s="7" t="s">
        <v>196</v>
      </c>
      <c r="AJS6" s="7" t="s">
        <v>196</v>
      </c>
      <c r="AJT6" s="7" t="s">
        <v>196</v>
      </c>
      <c r="AJV6" s="6" t="s">
        <v>195</v>
      </c>
      <c r="AJW6" s="7" t="s">
        <v>196</v>
      </c>
      <c r="AJX6" s="7" t="s">
        <v>196</v>
      </c>
      <c r="AJY6" s="7" t="s">
        <v>196</v>
      </c>
    </row>
    <row r="7">
      <c r="D7" s="7" t="s">
        <v>197</v>
      </c>
      <c r="E7" s="7" t="s">
        <v>198</v>
      </c>
      <c r="F7" s="7" t="s">
        <v>199</v>
      </c>
      <c r="I7" s="7" t="s">
        <v>197</v>
      </c>
      <c r="J7" s="7" t="s">
        <v>198</v>
      </c>
      <c r="K7" s="7" t="s">
        <v>199</v>
      </c>
      <c r="N7" s="7" t="s">
        <v>197</v>
      </c>
      <c r="O7" s="7" t="s">
        <v>198</v>
      </c>
      <c r="P7" s="7" t="s">
        <v>199</v>
      </c>
      <c r="S7" s="7" t="s">
        <v>197</v>
      </c>
      <c r="T7" s="7" t="s">
        <v>198</v>
      </c>
      <c r="U7" s="7" t="s">
        <v>199</v>
      </c>
      <c r="X7" s="7" t="s">
        <v>197</v>
      </c>
      <c r="Y7" s="7" t="s">
        <v>198</v>
      </c>
      <c r="Z7" s="7" t="s">
        <v>199</v>
      </c>
      <c r="AC7" s="7" t="s">
        <v>197</v>
      </c>
      <c r="AD7" s="7" t="s">
        <v>198</v>
      </c>
      <c r="AE7" s="7" t="s">
        <v>199</v>
      </c>
      <c r="AH7" s="7" t="s">
        <v>197</v>
      </c>
      <c r="AI7" s="7" t="s">
        <v>198</v>
      </c>
      <c r="AJ7" s="7" t="s">
        <v>199</v>
      </c>
      <c r="AM7" s="7" t="s">
        <v>197</v>
      </c>
      <c r="AN7" s="7" t="s">
        <v>198</v>
      </c>
      <c r="AO7" s="7" t="s">
        <v>199</v>
      </c>
      <c r="AR7" s="7" t="s">
        <v>197</v>
      </c>
      <c r="AS7" s="7" t="s">
        <v>198</v>
      </c>
      <c r="AT7" s="7" t="s">
        <v>199</v>
      </c>
      <c r="AW7" s="7" t="s">
        <v>197</v>
      </c>
      <c r="AX7" s="7" t="s">
        <v>198</v>
      </c>
      <c r="AY7" s="7" t="s">
        <v>199</v>
      </c>
      <c r="BB7" s="7" t="s">
        <v>197</v>
      </c>
      <c r="BC7" s="7" t="s">
        <v>198</v>
      </c>
      <c r="BD7" s="7" t="s">
        <v>199</v>
      </c>
      <c r="BG7" s="7" t="s">
        <v>197</v>
      </c>
      <c r="BH7" s="7" t="s">
        <v>198</v>
      </c>
      <c r="BI7" s="7" t="s">
        <v>199</v>
      </c>
      <c r="BL7" s="7" t="s">
        <v>197</v>
      </c>
      <c r="BM7" s="7" t="s">
        <v>198</v>
      </c>
      <c r="BN7" s="7" t="s">
        <v>199</v>
      </c>
      <c r="BQ7" s="7" t="s">
        <v>197</v>
      </c>
      <c r="BR7" s="7" t="s">
        <v>198</v>
      </c>
      <c r="BS7" s="7" t="s">
        <v>199</v>
      </c>
      <c r="BV7" s="7" t="s">
        <v>197</v>
      </c>
      <c r="BW7" s="7" t="s">
        <v>198</v>
      </c>
      <c r="BX7" s="7" t="s">
        <v>199</v>
      </c>
      <c r="CA7" s="7" t="s">
        <v>197</v>
      </c>
      <c r="CB7" s="7" t="s">
        <v>198</v>
      </c>
      <c r="CC7" s="7" t="s">
        <v>199</v>
      </c>
      <c r="CF7" s="7" t="s">
        <v>197</v>
      </c>
      <c r="CG7" s="7" t="s">
        <v>198</v>
      </c>
      <c r="CH7" s="7" t="s">
        <v>199</v>
      </c>
      <c r="CK7" s="7" t="s">
        <v>197</v>
      </c>
      <c r="CL7" s="7" t="s">
        <v>198</v>
      </c>
      <c r="CM7" s="7" t="s">
        <v>199</v>
      </c>
      <c r="CP7" s="7" t="s">
        <v>197</v>
      </c>
      <c r="CQ7" s="7" t="s">
        <v>198</v>
      </c>
      <c r="CR7" s="7" t="s">
        <v>199</v>
      </c>
      <c r="CU7" s="7" t="s">
        <v>197</v>
      </c>
      <c r="CV7" s="7" t="s">
        <v>198</v>
      </c>
      <c r="CW7" s="7" t="s">
        <v>199</v>
      </c>
      <c r="CZ7" s="7" t="s">
        <v>197</v>
      </c>
      <c r="DA7" s="7" t="s">
        <v>198</v>
      </c>
      <c r="DB7" s="7" t="s">
        <v>199</v>
      </c>
      <c r="DE7" s="7" t="s">
        <v>197</v>
      </c>
      <c r="DF7" s="7" t="s">
        <v>198</v>
      </c>
      <c r="DG7" s="7" t="s">
        <v>199</v>
      </c>
      <c r="DJ7" s="7" t="s">
        <v>197</v>
      </c>
      <c r="DK7" s="7" t="s">
        <v>198</v>
      </c>
      <c r="DL7" s="7" t="s">
        <v>199</v>
      </c>
      <c r="DO7" s="7" t="s">
        <v>197</v>
      </c>
      <c r="DP7" s="7" t="s">
        <v>198</v>
      </c>
      <c r="DQ7" s="7" t="s">
        <v>199</v>
      </c>
      <c r="DT7" s="7" t="s">
        <v>197</v>
      </c>
      <c r="DU7" s="7" t="s">
        <v>198</v>
      </c>
      <c r="DV7" s="7" t="s">
        <v>199</v>
      </c>
      <c r="DY7" s="7" t="s">
        <v>197</v>
      </c>
      <c r="DZ7" s="7" t="s">
        <v>198</v>
      </c>
      <c r="EA7" s="7" t="s">
        <v>199</v>
      </c>
      <c r="ED7" s="7" t="s">
        <v>197</v>
      </c>
      <c r="EE7" s="7" t="s">
        <v>198</v>
      </c>
      <c r="EF7" s="7" t="s">
        <v>199</v>
      </c>
      <c r="EI7" s="7" t="s">
        <v>197</v>
      </c>
      <c r="EJ7" s="7" t="s">
        <v>198</v>
      </c>
      <c r="EK7" s="7" t="s">
        <v>199</v>
      </c>
      <c r="EN7" s="7" t="s">
        <v>197</v>
      </c>
      <c r="EO7" s="7" t="s">
        <v>198</v>
      </c>
      <c r="EP7" s="7" t="s">
        <v>199</v>
      </c>
      <c r="ES7" s="7" t="s">
        <v>197</v>
      </c>
      <c r="ET7" s="7" t="s">
        <v>198</v>
      </c>
      <c r="EU7" s="7" t="s">
        <v>199</v>
      </c>
      <c r="EX7" s="7" t="s">
        <v>197</v>
      </c>
      <c r="EY7" s="7" t="s">
        <v>198</v>
      </c>
      <c r="EZ7" s="7" t="s">
        <v>199</v>
      </c>
      <c r="FC7" s="7" t="s">
        <v>197</v>
      </c>
      <c r="FD7" s="7" t="s">
        <v>198</v>
      </c>
      <c r="FE7" s="7" t="s">
        <v>199</v>
      </c>
      <c r="FH7" s="7" t="s">
        <v>197</v>
      </c>
      <c r="FI7" s="7" t="s">
        <v>198</v>
      </c>
      <c r="FJ7" s="7" t="s">
        <v>199</v>
      </c>
      <c r="FM7" s="7" t="s">
        <v>197</v>
      </c>
      <c r="FN7" s="7" t="s">
        <v>198</v>
      </c>
      <c r="FO7" s="7" t="s">
        <v>199</v>
      </c>
      <c r="FR7" s="7" t="s">
        <v>197</v>
      </c>
      <c r="FS7" s="7" t="s">
        <v>198</v>
      </c>
      <c r="FT7" s="7" t="s">
        <v>199</v>
      </c>
      <c r="FW7" s="7" t="s">
        <v>197</v>
      </c>
      <c r="FX7" s="7" t="s">
        <v>198</v>
      </c>
      <c r="FY7" s="7" t="s">
        <v>199</v>
      </c>
      <c r="GB7" s="7" t="s">
        <v>197</v>
      </c>
      <c r="GC7" s="7" t="s">
        <v>198</v>
      </c>
      <c r="GD7" s="7" t="s">
        <v>199</v>
      </c>
      <c r="GG7" s="7" t="s">
        <v>197</v>
      </c>
      <c r="GH7" s="7" t="s">
        <v>198</v>
      </c>
      <c r="GI7" s="7" t="s">
        <v>199</v>
      </c>
      <c r="GL7" s="7" t="s">
        <v>197</v>
      </c>
      <c r="GM7" s="7" t="s">
        <v>198</v>
      </c>
      <c r="GN7" s="7" t="s">
        <v>199</v>
      </c>
      <c r="GQ7" s="7" t="s">
        <v>197</v>
      </c>
      <c r="GR7" s="7" t="s">
        <v>198</v>
      </c>
      <c r="GS7" s="7" t="s">
        <v>199</v>
      </c>
      <c r="GV7" s="7" t="s">
        <v>197</v>
      </c>
      <c r="GW7" s="7" t="s">
        <v>198</v>
      </c>
      <c r="GX7" s="7" t="s">
        <v>199</v>
      </c>
      <c r="HA7" s="7" t="s">
        <v>197</v>
      </c>
      <c r="HB7" s="7" t="s">
        <v>198</v>
      </c>
      <c r="HC7" s="7" t="s">
        <v>199</v>
      </c>
      <c r="HF7" s="7" t="s">
        <v>197</v>
      </c>
      <c r="HG7" s="7" t="s">
        <v>198</v>
      </c>
      <c r="HH7" s="7" t="s">
        <v>199</v>
      </c>
      <c r="HK7" s="7" t="s">
        <v>197</v>
      </c>
      <c r="HL7" s="7" t="s">
        <v>198</v>
      </c>
      <c r="HM7" s="7" t="s">
        <v>199</v>
      </c>
      <c r="HP7" s="7" t="s">
        <v>197</v>
      </c>
      <c r="HQ7" s="7" t="s">
        <v>198</v>
      </c>
      <c r="HR7" s="7" t="s">
        <v>199</v>
      </c>
      <c r="HU7" s="7" t="s">
        <v>197</v>
      </c>
      <c r="HV7" s="7" t="s">
        <v>198</v>
      </c>
      <c r="HW7" s="7" t="s">
        <v>199</v>
      </c>
      <c r="HZ7" s="7" t="s">
        <v>197</v>
      </c>
      <c r="IA7" s="7" t="s">
        <v>198</v>
      </c>
      <c r="IB7" s="7" t="s">
        <v>199</v>
      </c>
      <c r="IE7" s="7" t="s">
        <v>197</v>
      </c>
      <c r="IF7" s="7" t="s">
        <v>198</v>
      </c>
      <c r="IG7" s="7" t="s">
        <v>199</v>
      </c>
      <c r="IJ7" s="7" t="s">
        <v>197</v>
      </c>
      <c r="IK7" s="7" t="s">
        <v>198</v>
      </c>
      <c r="IL7" s="7" t="s">
        <v>199</v>
      </c>
      <c r="IO7" s="7" t="s">
        <v>197</v>
      </c>
      <c r="IP7" s="7" t="s">
        <v>198</v>
      </c>
      <c r="IQ7" s="7" t="s">
        <v>199</v>
      </c>
      <c r="IT7" s="7" t="s">
        <v>197</v>
      </c>
      <c r="IU7" s="7" t="s">
        <v>198</v>
      </c>
      <c r="IV7" s="7" t="s">
        <v>199</v>
      </c>
      <c r="IY7" s="7" t="s">
        <v>197</v>
      </c>
      <c r="IZ7" s="7" t="s">
        <v>198</v>
      </c>
      <c r="JA7" s="7" t="s">
        <v>199</v>
      </c>
      <c r="JD7" s="7" t="s">
        <v>197</v>
      </c>
      <c r="JE7" s="7" t="s">
        <v>198</v>
      </c>
      <c r="JF7" s="7" t="s">
        <v>199</v>
      </c>
      <c r="JI7" s="7" t="s">
        <v>197</v>
      </c>
      <c r="JJ7" s="7" t="s">
        <v>198</v>
      </c>
      <c r="JK7" s="7" t="s">
        <v>199</v>
      </c>
      <c r="JN7" s="7" t="s">
        <v>197</v>
      </c>
      <c r="JO7" s="7" t="s">
        <v>198</v>
      </c>
      <c r="JP7" s="7" t="s">
        <v>199</v>
      </c>
      <c r="JS7" s="7" t="s">
        <v>197</v>
      </c>
      <c r="JT7" s="7" t="s">
        <v>198</v>
      </c>
      <c r="JU7" s="7" t="s">
        <v>199</v>
      </c>
      <c r="JX7" s="7" t="s">
        <v>197</v>
      </c>
      <c r="JY7" s="7" t="s">
        <v>198</v>
      </c>
      <c r="JZ7" s="7" t="s">
        <v>199</v>
      </c>
      <c r="KC7" s="7" t="s">
        <v>197</v>
      </c>
      <c r="KD7" s="7" t="s">
        <v>198</v>
      </c>
      <c r="KE7" s="7" t="s">
        <v>199</v>
      </c>
      <c r="KH7" s="7" t="s">
        <v>197</v>
      </c>
      <c r="KI7" s="7" t="s">
        <v>198</v>
      </c>
      <c r="KJ7" s="7" t="s">
        <v>199</v>
      </c>
      <c r="KM7" s="7" t="s">
        <v>197</v>
      </c>
      <c r="KN7" s="7" t="s">
        <v>198</v>
      </c>
      <c r="KO7" s="7" t="s">
        <v>199</v>
      </c>
      <c r="KR7" s="7" t="s">
        <v>197</v>
      </c>
      <c r="KS7" s="7" t="s">
        <v>198</v>
      </c>
      <c r="KT7" s="7" t="s">
        <v>199</v>
      </c>
      <c r="KW7" s="7" t="s">
        <v>197</v>
      </c>
      <c r="KX7" s="7" t="s">
        <v>198</v>
      </c>
      <c r="KY7" s="7" t="s">
        <v>199</v>
      </c>
      <c r="LB7" s="7" t="s">
        <v>197</v>
      </c>
      <c r="LC7" s="7" t="s">
        <v>198</v>
      </c>
      <c r="LD7" s="7" t="s">
        <v>199</v>
      </c>
      <c r="LG7" s="7" t="s">
        <v>197</v>
      </c>
      <c r="LH7" s="7" t="s">
        <v>198</v>
      </c>
      <c r="LI7" s="7" t="s">
        <v>199</v>
      </c>
      <c r="LL7" s="7" t="s">
        <v>197</v>
      </c>
      <c r="LM7" s="7" t="s">
        <v>198</v>
      </c>
      <c r="LN7" s="7" t="s">
        <v>199</v>
      </c>
      <c r="LQ7" s="7" t="s">
        <v>197</v>
      </c>
      <c r="LR7" s="7" t="s">
        <v>198</v>
      </c>
      <c r="LS7" s="7" t="s">
        <v>199</v>
      </c>
      <c r="LV7" s="7" t="s">
        <v>197</v>
      </c>
      <c r="LW7" s="7" t="s">
        <v>198</v>
      </c>
      <c r="LX7" s="7" t="s">
        <v>199</v>
      </c>
      <c r="MA7" s="7" t="s">
        <v>197</v>
      </c>
      <c r="MB7" s="7" t="s">
        <v>198</v>
      </c>
      <c r="MC7" s="7" t="s">
        <v>199</v>
      </c>
      <c r="MF7" s="7" t="s">
        <v>197</v>
      </c>
      <c r="MG7" s="7" t="s">
        <v>198</v>
      </c>
      <c r="MH7" s="7" t="s">
        <v>199</v>
      </c>
      <c r="MK7" s="7" t="s">
        <v>197</v>
      </c>
      <c r="ML7" s="7" t="s">
        <v>198</v>
      </c>
      <c r="MM7" s="7" t="s">
        <v>199</v>
      </c>
      <c r="MP7" s="7" t="s">
        <v>197</v>
      </c>
      <c r="MQ7" s="7" t="s">
        <v>198</v>
      </c>
      <c r="MR7" s="7" t="s">
        <v>199</v>
      </c>
      <c r="MU7" s="7" t="s">
        <v>197</v>
      </c>
      <c r="MV7" s="7" t="s">
        <v>198</v>
      </c>
      <c r="MW7" s="7" t="s">
        <v>199</v>
      </c>
      <c r="MZ7" s="7" t="s">
        <v>197</v>
      </c>
      <c r="NA7" s="7" t="s">
        <v>198</v>
      </c>
      <c r="NB7" s="7" t="s">
        <v>199</v>
      </c>
      <c r="NE7" s="7" t="s">
        <v>197</v>
      </c>
      <c r="NF7" s="7" t="s">
        <v>198</v>
      </c>
      <c r="NG7" s="7" t="s">
        <v>199</v>
      </c>
      <c r="NJ7" s="7" t="s">
        <v>197</v>
      </c>
      <c r="NK7" s="7" t="s">
        <v>198</v>
      </c>
      <c r="NL7" s="7" t="s">
        <v>199</v>
      </c>
      <c r="NO7" s="7" t="s">
        <v>197</v>
      </c>
      <c r="NP7" s="7" t="s">
        <v>198</v>
      </c>
      <c r="NQ7" s="7" t="s">
        <v>199</v>
      </c>
      <c r="NT7" s="7" t="s">
        <v>197</v>
      </c>
      <c r="NU7" s="7" t="s">
        <v>198</v>
      </c>
      <c r="NV7" s="7" t="s">
        <v>199</v>
      </c>
      <c r="NY7" s="7" t="s">
        <v>197</v>
      </c>
      <c r="NZ7" s="7" t="s">
        <v>198</v>
      </c>
      <c r="OA7" s="7" t="s">
        <v>199</v>
      </c>
      <c r="OD7" s="7" t="s">
        <v>197</v>
      </c>
      <c r="OE7" s="7" t="s">
        <v>198</v>
      </c>
      <c r="OF7" s="7" t="s">
        <v>199</v>
      </c>
      <c r="OI7" s="7" t="s">
        <v>197</v>
      </c>
      <c r="OJ7" s="7" t="s">
        <v>198</v>
      </c>
      <c r="OK7" s="7" t="s">
        <v>199</v>
      </c>
      <c r="ON7" s="7" t="s">
        <v>197</v>
      </c>
      <c r="OO7" s="7" t="s">
        <v>198</v>
      </c>
      <c r="OP7" s="7" t="s">
        <v>199</v>
      </c>
      <c r="OS7" s="7" t="s">
        <v>197</v>
      </c>
      <c r="OT7" s="7" t="s">
        <v>198</v>
      </c>
      <c r="OU7" s="7" t="s">
        <v>199</v>
      </c>
      <c r="OX7" s="7" t="s">
        <v>197</v>
      </c>
      <c r="OY7" s="7" t="s">
        <v>198</v>
      </c>
      <c r="OZ7" s="7" t="s">
        <v>199</v>
      </c>
      <c r="PC7" s="7" t="s">
        <v>197</v>
      </c>
      <c r="PD7" s="7" t="s">
        <v>198</v>
      </c>
      <c r="PE7" s="7" t="s">
        <v>199</v>
      </c>
      <c r="PH7" s="7" t="s">
        <v>197</v>
      </c>
      <c r="PI7" s="7" t="s">
        <v>198</v>
      </c>
      <c r="PJ7" s="7" t="s">
        <v>199</v>
      </c>
      <c r="PM7" s="7" t="s">
        <v>197</v>
      </c>
      <c r="PN7" s="7" t="s">
        <v>198</v>
      </c>
      <c r="PO7" s="7" t="s">
        <v>199</v>
      </c>
      <c r="PR7" s="7" t="s">
        <v>197</v>
      </c>
      <c r="PS7" s="7" t="s">
        <v>198</v>
      </c>
      <c r="PT7" s="7" t="s">
        <v>199</v>
      </c>
      <c r="PW7" s="7" t="s">
        <v>197</v>
      </c>
      <c r="PX7" s="7" t="s">
        <v>198</v>
      </c>
      <c r="PY7" s="7" t="s">
        <v>199</v>
      </c>
      <c r="QB7" s="7" t="s">
        <v>197</v>
      </c>
      <c r="QC7" s="7" t="s">
        <v>198</v>
      </c>
      <c r="QD7" s="7" t="s">
        <v>199</v>
      </c>
      <c r="QG7" s="7" t="s">
        <v>197</v>
      </c>
      <c r="QH7" s="7" t="s">
        <v>198</v>
      </c>
      <c r="QI7" s="7" t="s">
        <v>199</v>
      </c>
      <c r="QL7" s="7" t="s">
        <v>197</v>
      </c>
      <c r="QM7" s="7" t="s">
        <v>198</v>
      </c>
      <c r="QN7" s="7" t="s">
        <v>199</v>
      </c>
      <c r="QQ7" s="7" t="s">
        <v>197</v>
      </c>
      <c r="QR7" s="7" t="s">
        <v>198</v>
      </c>
      <c r="QS7" s="7" t="s">
        <v>199</v>
      </c>
      <c r="QV7" s="7" t="s">
        <v>197</v>
      </c>
      <c r="QW7" s="7" t="s">
        <v>198</v>
      </c>
      <c r="QX7" s="7" t="s">
        <v>199</v>
      </c>
      <c r="RA7" s="7" t="s">
        <v>197</v>
      </c>
      <c r="RB7" s="7" t="s">
        <v>198</v>
      </c>
      <c r="RC7" s="7" t="s">
        <v>199</v>
      </c>
      <c r="RF7" s="7" t="s">
        <v>197</v>
      </c>
      <c r="RG7" s="7" t="s">
        <v>198</v>
      </c>
      <c r="RH7" s="7" t="s">
        <v>199</v>
      </c>
      <c r="RK7" s="7" t="s">
        <v>197</v>
      </c>
      <c r="RL7" s="7" t="s">
        <v>198</v>
      </c>
      <c r="RM7" s="7" t="s">
        <v>199</v>
      </c>
      <c r="RP7" s="7" t="s">
        <v>197</v>
      </c>
      <c r="RQ7" s="7" t="s">
        <v>198</v>
      </c>
      <c r="RR7" s="7" t="s">
        <v>199</v>
      </c>
      <c r="RU7" s="7" t="s">
        <v>197</v>
      </c>
      <c r="RV7" s="7" t="s">
        <v>198</v>
      </c>
      <c r="RW7" s="7" t="s">
        <v>199</v>
      </c>
      <c r="RZ7" s="7" t="s">
        <v>197</v>
      </c>
      <c r="SA7" s="7" t="s">
        <v>198</v>
      </c>
      <c r="SB7" s="7" t="s">
        <v>199</v>
      </c>
      <c r="SE7" s="7" t="s">
        <v>197</v>
      </c>
      <c r="SF7" s="7" t="s">
        <v>198</v>
      </c>
      <c r="SG7" s="7" t="s">
        <v>199</v>
      </c>
      <c r="SJ7" s="7" t="s">
        <v>197</v>
      </c>
      <c r="SK7" s="7" t="s">
        <v>198</v>
      </c>
      <c r="SL7" s="7" t="s">
        <v>199</v>
      </c>
      <c r="SO7" s="7" t="s">
        <v>197</v>
      </c>
      <c r="SP7" s="7" t="s">
        <v>198</v>
      </c>
      <c r="SQ7" s="7" t="s">
        <v>199</v>
      </c>
      <c r="ST7" s="7" t="s">
        <v>197</v>
      </c>
      <c r="SU7" s="7" t="s">
        <v>198</v>
      </c>
      <c r="SV7" s="7" t="s">
        <v>199</v>
      </c>
      <c r="SY7" s="7" t="s">
        <v>197</v>
      </c>
      <c r="SZ7" s="7" t="s">
        <v>198</v>
      </c>
      <c r="TA7" s="7" t="s">
        <v>199</v>
      </c>
      <c r="TD7" s="7" t="s">
        <v>197</v>
      </c>
      <c r="TE7" s="7" t="s">
        <v>198</v>
      </c>
      <c r="TF7" s="7" t="s">
        <v>199</v>
      </c>
      <c r="TI7" s="7" t="s">
        <v>197</v>
      </c>
      <c r="TJ7" s="7" t="s">
        <v>198</v>
      </c>
      <c r="TK7" s="7" t="s">
        <v>199</v>
      </c>
      <c r="TN7" s="7" t="s">
        <v>197</v>
      </c>
      <c r="TO7" s="7" t="s">
        <v>198</v>
      </c>
      <c r="TP7" s="7" t="s">
        <v>199</v>
      </c>
      <c r="TS7" s="7" t="s">
        <v>197</v>
      </c>
      <c r="TT7" s="7" t="s">
        <v>198</v>
      </c>
      <c r="TU7" s="7" t="s">
        <v>199</v>
      </c>
      <c r="TX7" s="7" t="s">
        <v>197</v>
      </c>
      <c r="TY7" s="7" t="s">
        <v>198</v>
      </c>
      <c r="TZ7" s="7" t="s">
        <v>199</v>
      </c>
      <c r="UC7" s="7" t="s">
        <v>197</v>
      </c>
      <c r="UD7" s="7" t="s">
        <v>198</v>
      </c>
      <c r="UE7" s="7" t="s">
        <v>199</v>
      </c>
      <c r="UH7" s="7" t="s">
        <v>197</v>
      </c>
      <c r="UI7" s="7" t="s">
        <v>198</v>
      </c>
      <c r="UJ7" s="7" t="s">
        <v>199</v>
      </c>
      <c r="UM7" s="7" t="s">
        <v>197</v>
      </c>
      <c r="UN7" s="7" t="s">
        <v>198</v>
      </c>
      <c r="UO7" s="7" t="s">
        <v>199</v>
      </c>
      <c r="UR7" s="7" t="s">
        <v>197</v>
      </c>
      <c r="US7" s="7" t="s">
        <v>198</v>
      </c>
      <c r="UT7" s="7" t="s">
        <v>199</v>
      </c>
      <c r="UW7" s="7" t="s">
        <v>197</v>
      </c>
      <c r="UX7" s="7" t="s">
        <v>198</v>
      </c>
      <c r="UY7" s="7" t="s">
        <v>199</v>
      </c>
      <c r="VB7" s="7" t="s">
        <v>197</v>
      </c>
      <c r="VC7" s="7" t="s">
        <v>198</v>
      </c>
      <c r="VD7" s="7" t="s">
        <v>199</v>
      </c>
      <c r="VG7" s="7" t="s">
        <v>197</v>
      </c>
      <c r="VH7" s="7" t="s">
        <v>198</v>
      </c>
      <c r="VI7" s="7" t="s">
        <v>199</v>
      </c>
      <c r="VL7" s="7" t="s">
        <v>197</v>
      </c>
      <c r="VM7" s="7" t="s">
        <v>198</v>
      </c>
      <c r="VN7" s="7" t="s">
        <v>199</v>
      </c>
      <c r="VQ7" s="7" t="s">
        <v>197</v>
      </c>
      <c r="VR7" s="7" t="s">
        <v>198</v>
      </c>
      <c r="VS7" s="7" t="s">
        <v>199</v>
      </c>
      <c r="VV7" s="7" t="s">
        <v>197</v>
      </c>
      <c r="VW7" s="7" t="s">
        <v>198</v>
      </c>
      <c r="VX7" s="7" t="s">
        <v>199</v>
      </c>
      <c r="WA7" s="7" t="s">
        <v>197</v>
      </c>
      <c r="WB7" s="7" t="s">
        <v>198</v>
      </c>
      <c r="WC7" s="7" t="s">
        <v>199</v>
      </c>
      <c r="WF7" s="7" t="s">
        <v>197</v>
      </c>
      <c r="WG7" s="7" t="s">
        <v>198</v>
      </c>
      <c r="WH7" s="7" t="s">
        <v>199</v>
      </c>
      <c r="WK7" s="7" t="s">
        <v>197</v>
      </c>
      <c r="WL7" s="7" t="s">
        <v>198</v>
      </c>
      <c r="WM7" s="7" t="s">
        <v>199</v>
      </c>
      <c r="WP7" s="7" t="s">
        <v>197</v>
      </c>
      <c r="WQ7" s="7" t="s">
        <v>198</v>
      </c>
      <c r="WR7" s="7" t="s">
        <v>199</v>
      </c>
      <c r="WU7" s="7" t="s">
        <v>197</v>
      </c>
      <c r="WV7" s="7" t="s">
        <v>198</v>
      </c>
      <c r="WW7" s="7" t="s">
        <v>199</v>
      </c>
      <c r="WZ7" s="7" t="s">
        <v>197</v>
      </c>
      <c r="XA7" s="7" t="s">
        <v>198</v>
      </c>
      <c r="XB7" s="7" t="s">
        <v>199</v>
      </c>
      <c r="XE7" s="7" t="s">
        <v>197</v>
      </c>
      <c r="XF7" s="7" t="s">
        <v>198</v>
      </c>
      <c r="XG7" s="7" t="s">
        <v>199</v>
      </c>
      <c r="XJ7" s="7" t="s">
        <v>197</v>
      </c>
      <c r="XK7" s="7" t="s">
        <v>198</v>
      </c>
      <c r="XL7" s="7" t="s">
        <v>199</v>
      </c>
      <c r="XO7" s="7" t="s">
        <v>197</v>
      </c>
      <c r="XP7" s="7" t="s">
        <v>198</v>
      </c>
      <c r="XQ7" s="7" t="s">
        <v>199</v>
      </c>
      <c r="XT7" s="7" t="s">
        <v>197</v>
      </c>
      <c r="XU7" s="7" t="s">
        <v>198</v>
      </c>
      <c r="XV7" s="7" t="s">
        <v>199</v>
      </c>
      <c r="XY7" s="7" t="s">
        <v>197</v>
      </c>
      <c r="XZ7" s="7" t="s">
        <v>198</v>
      </c>
      <c r="YA7" s="7" t="s">
        <v>199</v>
      </c>
      <c r="YD7" s="7" t="s">
        <v>197</v>
      </c>
      <c r="YE7" s="7" t="s">
        <v>198</v>
      </c>
      <c r="YF7" s="7" t="s">
        <v>199</v>
      </c>
      <c r="YI7" s="7" t="s">
        <v>197</v>
      </c>
      <c r="YJ7" s="7" t="s">
        <v>198</v>
      </c>
      <c r="YK7" s="7" t="s">
        <v>199</v>
      </c>
      <c r="YN7" s="7" t="s">
        <v>197</v>
      </c>
      <c r="YO7" s="7" t="s">
        <v>198</v>
      </c>
      <c r="YP7" s="7" t="s">
        <v>199</v>
      </c>
      <c r="YS7" s="7" t="s">
        <v>197</v>
      </c>
      <c r="YT7" s="7" t="s">
        <v>198</v>
      </c>
      <c r="YU7" s="7" t="s">
        <v>199</v>
      </c>
      <c r="YX7" s="7" t="s">
        <v>197</v>
      </c>
      <c r="YY7" s="7" t="s">
        <v>198</v>
      </c>
      <c r="YZ7" s="7" t="s">
        <v>199</v>
      </c>
      <c r="ZC7" s="7" t="s">
        <v>197</v>
      </c>
      <c r="ZD7" s="7" t="s">
        <v>198</v>
      </c>
      <c r="ZE7" s="7" t="s">
        <v>199</v>
      </c>
      <c r="ZH7" s="7" t="s">
        <v>197</v>
      </c>
      <c r="ZI7" s="7" t="s">
        <v>198</v>
      </c>
      <c r="ZJ7" s="7" t="s">
        <v>199</v>
      </c>
      <c r="ZM7" s="7" t="s">
        <v>197</v>
      </c>
      <c r="ZN7" s="7" t="s">
        <v>198</v>
      </c>
      <c r="ZO7" s="7" t="s">
        <v>199</v>
      </c>
      <c r="ZR7" s="7" t="s">
        <v>197</v>
      </c>
      <c r="ZS7" s="7" t="s">
        <v>198</v>
      </c>
      <c r="ZT7" s="7" t="s">
        <v>199</v>
      </c>
      <c r="ZW7" s="7" t="s">
        <v>197</v>
      </c>
      <c r="ZX7" s="7" t="s">
        <v>198</v>
      </c>
      <c r="ZY7" s="7" t="s">
        <v>199</v>
      </c>
      <c r="AAB7" s="7" t="s">
        <v>197</v>
      </c>
      <c r="AAC7" s="7" t="s">
        <v>198</v>
      </c>
      <c r="AAD7" s="7" t="s">
        <v>199</v>
      </c>
      <c r="AAG7" s="7" t="s">
        <v>197</v>
      </c>
      <c r="AAH7" s="7" t="s">
        <v>198</v>
      </c>
      <c r="AAI7" s="7" t="s">
        <v>199</v>
      </c>
      <c r="AAL7" s="7" t="s">
        <v>197</v>
      </c>
      <c r="AAM7" s="7" t="s">
        <v>198</v>
      </c>
      <c r="AAN7" s="7" t="s">
        <v>199</v>
      </c>
      <c r="AAQ7" s="7" t="s">
        <v>197</v>
      </c>
      <c r="AAR7" s="7" t="s">
        <v>198</v>
      </c>
      <c r="AAS7" s="7" t="s">
        <v>199</v>
      </c>
      <c r="AAV7" s="7" t="s">
        <v>197</v>
      </c>
      <c r="AAW7" s="7" t="s">
        <v>198</v>
      </c>
      <c r="AAX7" s="7" t="s">
        <v>199</v>
      </c>
      <c r="ABA7" s="7" t="s">
        <v>197</v>
      </c>
      <c r="ABB7" s="7" t="s">
        <v>198</v>
      </c>
      <c r="ABC7" s="7" t="s">
        <v>199</v>
      </c>
      <c r="ABF7" s="7" t="s">
        <v>197</v>
      </c>
      <c r="ABG7" s="7" t="s">
        <v>198</v>
      </c>
      <c r="ABH7" s="7" t="s">
        <v>199</v>
      </c>
      <c r="ABK7" s="7" t="s">
        <v>197</v>
      </c>
      <c r="ABL7" s="7" t="s">
        <v>198</v>
      </c>
      <c r="ABM7" s="7" t="s">
        <v>199</v>
      </c>
      <c r="ABP7" s="7" t="s">
        <v>197</v>
      </c>
      <c r="ABQ7" s="7" t="s">
        <v>198</v>
      </c>
      <c r="ABR7" s="7" t="s">
        <v>199</v>
      </c>
      <c r="ABU7" s="7" t="s">
        <v>197</v>
      </c>
      <c r="ABV7" s="7" t="s">
        <v>198</v>
      </c>
      <c r="ABW7" s="7" t="s">
        <v>199</v>
      </c>
      <c r="ABZ7" s="7" t="s">
        <v>197</v>
      </c>
      <c r="ACA7" s="7" t="s">
        <v>198</v>
      </c>
      <c r="ACB7" s="7" t="s">
        <v>199</v>
      </c>
      <c r="ACE7" s="7" t="s">
        <v>197</v>
      </c>
      <c r="ACF7" s="7" t="s">
        <v>198</v>
      </c>
      <c r="ACG7" s="7" t="s">
        <v>199</v>
      </c>
      <c r="ACJ7" s="7" t="s">
        <v>197</v>
      </c>
      <c r="ACK7" s="7" t="s">
        <v>198</v>
      </c>
      <c r="ACL7" s="7" t="s">
        <v>199</v>
      </c>
      <c r="ACO7" s="7" t="s">
        <v>197</v>
      </c>
      <c r="ACP7" s="7" t="s">
        <v>198</v>
      </c>
      <c r="ACQ7" s="7" t="s">
        <v>199</v>
      </c>
      <c r="ACT7" s="7" t="s">
        <v>197</v>
      </c>
      <c r="ACU7" s="7" t="s">
        <v>198</v>
      </c>
      <c r="ACV7" s="7" t="s">
        <v>199</v>
      </c>
      <c r="ACY7" s="7" t="s">
        <v>197</v>
      </c>
      <c r="ACZ7" s="7" t="s">
        <v>198</v>
      </c>
      <c r="ADA7" s="7" t="s">
        <v>199</v>
      </c>
      <c r="ADD7" s="7" t="s">
        <v>197</v>
      </c>
      <c r="ADE7" s="7" t="s">
        <v>198</v>
      </c>
      <c r="ADF7" s="7" t="s">
        <v>199</v>
      </c>
      <c r="ADI7" s="7" t="s">
        <v>197</v>
      </c>
      <c r="ADJ7" s="7" t="s">
        <v>198</v>
      </c>
      <c r="ADK7" s="7" t="s">
        <v>199</v>
      </c>
      <c r="ADN7" s="7" t="s">
        <v>197</v>
      </c>
      <c r="ADO7" s="7" t="s">
        <v>198</v>
      </c>
      <c r="ADP7" s="7" t="s">
        <v>199</v>
      </c>
      <c r="ADS7" s="7" t="s">
        <v>197</v>
      </c>
      <c r="ADT7" s="7" t="s">
        <v>198</v>
      </c>
      <c r="ADU7" s="7" t="s">
        <v>199</v>
      </c>
      <c r="ADX7" s="7" t="s">
        <v>197</v>
      </c>
      <c r="ADY7" s="7" t="s">
        <v>198</v>
      </c>
      <c r="ADZ7" s="7" t="s">
        <v>199</v>
      </c>
      <c r="AEC7" s="7" t="s">
        <v>197</v>
      </c>
      <c r="AED7" s="7" t="s">
        <v>198</v>
      </c>
      <c r="AEE7" s="7" t="s">
        <v>199</v>
      </c>
      <c r="AEH7" s="7" t="s">
        <v>197</v>
      </c>
      <c r="AEI7" s="7" t="s">
        <v>198</v>
      </c>
      <c r="AEJ7" s="7" t="s">
        <v>199</v>
      </c>
      <c r="AEM7" s="7" t="s">
        <v>197</v>
      </c>
      <c r="AEN7" s="7" t="s">
        <v>198</v>
      </c>
      <c r="AEO7" s="7" t="s">
        <v>199</v>
      </c>
      <c r="AER7" s="7" t="s">
        <v>197</v>
      </c>
      <c r="AES7" s="7" t="s">
        <v>198</v>
      </c>
      <c r="AET7" s="7" t="s">
        <v>199</v>
      </c>
      <c r="AEW7" s="7" t="s">
        <v>197</v>
      </c>
      <c r="AEX7" s="7" t="s">
        <v>198</v>
      </c>
      <c r="AEY7" s="7" t="s">
        <v>199</v>
      </c>
      <c r="AFB7" s="7" t="s">
        <v>197</v>
      </c>
      <c r="AFC7" s="7" t="s">
        <v>198</v>
      </c>
      <c r="AFD7" s="7" t="s">
        <v>199</v>
      </c>
      <c r="AFG7" s="7" t="s">
        <v>197</v>
      </c>
      <c r="AFH7" s="7" t="s">
        <v>198</v>
      </c>
      <c r="AFI7" s="7" t="s">
        <v>199</v>
      </c>
      <c r="AFL7" s="7" t="s">
        <v>197</v>
      </c>
      <c r="AFM7" s="7" t="s">
        <v>198</v>
      </c>
      <c r="AFN7" s="7" t="s">
        <v>199</v>
      </c>
      <c r="AFQ7" s="7" t="s">
        <v>197</v>
      </c>
      <c r="AFR7" s="7" t="s">
        <v>198</v>
      </c>
      <c r="AFS7" s="7" t="s">
        <v>199</v>
      </c>
      <c r="AFV7" s="7" t="s">
        <v>197</v>
      </c>
      <c r="AFW7" s="7" t="s">
        <v>198</v>
      </c>
      <c r="AFX7" s="7" t="s">
        <v>199</v>
      </c>
      <c r="AGA7" s="7" t="s">
        <v>197</v>
      </c>
      <c r="AGB7" s="7" t="s">
        <v>198</v>
      </c>
      <c r="AGC7" s="7" t="s">
        <v>199</v>
      </c>
      <c r="AGF7" s="7" t="s">
        <v>197</v>
      </c>
      <c r="AGG7" s="7" t="s">
        <v>198</v>
      </c>
      <c r="AGH7" s="7" t="s">
        <v>199</v>
      </c>
      <c r="AGK7" s="7" t="s">
        <v>197</v>
      </c>
      <c r="AGL7" s="7" t="s">
        <v>198</v>
      </c>
      <c r="AGM7" s="7" t="s">
        <v>199</v>
      </c>
      <c r="AGP7" s="7" t="s">
        <v>197</v>
      </c>
      <c r="AGQ7" s="7" t="s">
        <v>198</v>
      </c>
      <c r="AGR7" s="7" t="s">
        <v>199</v>
      </c>
      <c r="AGU7" s="7" t="s">
        <v>197</v>
      </c>
      <c r="AGV7" s="7" t="s">
        <v>198</v>
      </c>
      <c r="AGW7" s="7" t="s">
        <v>199</v>
      </c>
      <c r="AGZ7" s="7" t="s">
        <v>197</v>
      </c>
      <c r="AHA7" s="7" t="s">
        <v>198</v>
      </c>
      <c r="AHB7" s="7" t="s">
        <v>199</v>
      </c>
      <c r="AHE7" s="7" t="s">
        <v>197</v>
      </c>
      <c r="AHF7" s="7" t="s">
        <v>198</v>
      </c>
      <c r="AHG7" s="7" t="s">
        <v>199</v>
      </c>
      <c r="AHJ7" s="7" t="s">
        <v>197</v>
      </c>
      <c r="AHK7" s="7" t="s">
        <v>198</v>
      </c>
      <c r="AHL7" s="7" t="s">
        <v>199</v>
      </c>
      <c r="AHO7" s="7" t="s">
        <v>197</v>
      </c>
      <c r="AHP7" s="7" t="s">
        <v>198</v>
      </c>
      <c r="AHQ7" s="7" t="s">
        <v>199</v>
      </c>
      <c r="AHT7" s="7" t="s">
        <v>197</v>
      </c>
      <c r="AHU7" s="7" t="s">
        <v>198</v>
      </c>
      <c r="AHV7" s="7" t="s">
        <v>199</v>
      </c>
      <c r="AHY7" s="7" t="s">
        <v>197</v>
      </c>
      <c r="AHZ7" s="7" t="s">
        <v>198</v>
      </c>
      <c r="AIA7" s="7" t="s">
        <v>199</v>
      </c>
      <c r="AID7" s="7" t="s">
        <v>197</v>
      </c>
      <c r="AIE7" s="7" t="s">
        <v>198</v>
      </c>
      <c r="AIF7" s="7" t="s">
        <v>199</v>
      </c>
      <c r="AII7" s="7" t="s">
        <v>197</v>
      </c>
      <c r="AIJ7" s="7" t="s">
        <v>198</v>
      </c>
      <c r="AIK7" s="7" t="s">
        <v>199</v>
      </c>
      <c r="AIN7" s="7" t="s">
        <v>197</v>
      </c>
      <c r="AIO7" s="7" t="s">
        <v>198</v>
      </c>
      <c r="AIP7" s="7" t="s">
        <v>199</v>
      </c>
      <c r="AIS7" s="7" t="s">
        <v>197</v>
      </c>
      <c r="AIT7" s="7" t="s">
        <v>198</v>
      </c>
      <c r="AIU7" s="7" t="s">
        <v>199</v>
      </c>
      <c r="AIX7" s="7" t="s">
        <v>197</v>
      </c>
      <c r="AIY7" s="7" t="s">
        <v>198</v>
      </c>
      <c r="AIZ7" s="7" t="s">
        <v>199</v>
      </c>
      <c r="AJC7" s="7" t="s">
        <v>197</v>
      </c>
      <c r="AJD7" s="7" t="s">
        <v>198</v>
      </c>
      <c r="AJE7" s="7" t="s">
        <v>199</v>
      </c>
      <c r="AJH7" s="7" t="s">
        <v>197</v>
      </c>
      <c r="AJI7" s="7" t="s">
        <v>198</v>
      </c>
      <c r="AJJ7" s="7" t="s">
        <v>199</v>
      </c>
      <c r="AJM7" s="7" t="s">
        <v>197</v>
      </c>
      <c r="AJN7" s="7" t="s">
        <v>198</v>
      </c>
      <c r="AJO7" s="7" t="s">
        <v>199</v>
      </c>
      <c r="AJR7" s="7" t="s">
        <v>197</v>
      </c>
      <c r="AJS7" s="7" t="s">
        <v>198</v>
      </c>
      <c r="AJT7" s="7" t="s">
        <v>199</v>
      </c>
      <c r="AJW7" s="7" t="s">
        <v>197</v>
      </c>
      <c r="AJX7" s="7" t="s">
        <v>198</v>
      </c>
      <c r="AJY7" s="7" t="s">
        <v>199</v>
      </c>
    </row>
    <row r="8">
      <c r="B8" s="7" t="s">
        <v>196</v>
      </c>
    </row>
    <row r="9">
      <c r="A9" s="8" t="s">
        <v>200</v>
      </c>
      <c r="B9" s="9" t="s">
        <v>201</v>
      </c>
      <c r="C9" s="10">
        <v>40.0</v>
      </c>
      <c r="D9" s="10">
        <v>3.0</v>
      </c>
      <c r="E9" s="10">
        <v>6.0</v>
      </c>
      <c r="F9" s="11">
        <v>31.0</v>
      </c>
      <c r="H9" s="12">
        <v>40.0</v>
      </c>
      <c r="I9" s="10">
        <v>8.0</v>
      </c>
      <c r="J9" s="10">
        <v>8.0</v>
      </c>
      <c r="K9" s="11">
        <v>24.0</v>
      </c>
      <c r="M9" s="12">
        <v>40.0</v>
      </c>
      <c r="N9" s="10">
        <v>10.0</v>
      </c>
      <c r="O9" s="10">
        <v>10.0</v>
      </c>
      <c r="P9" s="11">
        <v>20.0</v>
      </c>
      <c r="R9" s="12">
        <v>40.0</v>
      </c>
      <c r="S9" s="10">
        <v>8.0</v>
      </c>
      <c r="T9" s="10">
        <v>13.0</v>
      </c>
      <c r="U9" s="11">
        <v>19.0</v>
      </c>
      <c r="W9" s="12">
        <v>40.0</v>
      </c>
      <c r="X9" s="10">
        <v>8.0</v>
      </c>
      <c r="Y9" s="10">
        <v>10.0</v>
      </c>
      <c r="Z9" s="11">
        <v>22.0</v>
      </c>
      <c r="AB9" s="12">
        <v>40.0</v>
      </c>
      <c r="AC9" s="10">
        <v>1.0</v>
      </c>
      <c r="AD9" s="10">
        <v>13.0</v>
      </c>
      <c r="AE9" s="11">
        <v>26.0</v>
      </c>
      <c r="AG9" s="12">
        <v>40.0</v>
      </c>
      <c r="AH9" s="10">
        <v>4.0</v>
      </c>
      <c r="AI9" s="10">
        <v>17.0</v>
      </c>
      <c r="AJ9" s="11">
        <v>19.0</v>
      </c>
      <c r="AL9" s="12">
        <v>40.0</v>
      </c>
      <c r="AM9" s="10">
        <v>5.0</v>
      </c>
      <c r="AN9" s="10">
        <v>3.0</v>
      </c>
      <c r="AO9" s="11">
        <v>32.0</v>
      </c>
      <c r="AQ9" s="12">
        <v>40.0</v>
      </c>
      <c r="AR9" s="10">
        <v>3.0</v>
      </c>
      <c r="AS9" s="10">
        <v>9.0</v>
      </c>
      <c r="AT9" s="11">
        <v>28.0</v>
      </c>
      <c r="AV9" s="12">
        <v>40.0</v>
      </c>
      <c r="AW9" s="10">
        <v>5.0</v>
      </c>
      <c r="AX9" s="10">
        <v>9.0</v>
      </c>
      <c r="AY9" s="11">
        <v>26.0</v>
      </c>
      <c r="BA9" s="12">
        <v>40.0</v>
      </c>
      <c r="BB9" s="10">
        <v>2.0</v>
      </c>
      <c r="BC9" s="10">
        <v>16.0</v>
      </c>
      <c r="BD9" s="11">
        <v>22.0</v>
      </c>
      <c r="BF9" s="12">
        <v>40.0</v>
      </c>
      <c r="BG9" s="10">
        <v>7.0</v>
      </c>
      <c r="BH9" s="10">
        <v>18.0</v>
      </c>
      <c r="BI9" s="11">
        <v>15.0</v>
      </c>
      <c r="BK9" s="12">
        <v>40.0</v>
      </c>
      <c r="BL9" s="10">
        <v>6.0</v>
      </c>
      <c r="BM9" s="10">
        <v>9.0</v>
      </c>
      <c r="BN9" s="11">
        <v>25.0</v>
      </c>
      <c r="BP9" s="12">
        <v>40.0</v>
      </c>
      <c r="BQ9" s="10">
        <v>9.0</v>
      </c>
      <c r="BR9" s="10">
        <v>7.0</v>
      </c>
      <c r="BS9" s="11">
        <v>24.0</v>
      </c>
      <c r="BU9" s="12">
        <v>40.0</v>
      </c>
      <c r="BV9" s="10">
        <v>3.0</v>
      </c>
      <c r="BW9" s="10">
        <v>17.0</v>
      </c>
      <c r="BX9" s="11">
        <v>20.0</v>
      </c>
      <c r="BZ9" s="12">
        <v>40.0</v>
      </c>
      <c r="CA9" s="10">
        <v>5.0</v>
      </c>
      <c r="CB9" s="10">
        <v>9.0</v>
      </c>
      <c r="CC9" s="11">
        <v>26.0</v>
      </c>
      <c r="CE9" s="12">
        <v>40.0</v>
      </c>
      <c r="CF9" s="10">
        <v>5.0</v>
      </c>
      <c r="CG9" s="10">
        <v>6.0</v>
      </c>
      <c r="CH9" s="11">
        <v>29.0</v>
      </c>
      <c r="CJ9" s="12">
        <v>40.0</v>
      </c>
      <c r="CK9" s="10">
        <v>1.0</v>
      </c>
      <c r="CL9" s="10">
        <v>13.0</v>
      </c>
      <c r="CM9" s="11">
        <v>26.0</v>
      </c>
      <c r="CO9" s="12">
        <v>40.0</v>
      </c>
      <c r="CP9" s="10">
        <v>2.0</v>
      </c>
      <c r="CQ9" s="10">
        <v>13.0</v>
      </c>
      <c r="CR9" s="11">
        <v>25.0</v>
      </c>
      <c r="CT9" s="12">
        <v>40.0</v>
      </c>
      <c r="CU9" s="10">
        <v>8.0</v>
      </c>
      <c r="CV9" s="10">
        <v>13.0</v>
      </c>
      <c r="CW9" s="11">
        <v>19.0</v>
      </c>
      <c r="CY9" s="12">
        <v>40.0</v>
      </c>
      <c r="CZ9" s="10">
        <v>3.0</v>
      </c>
      <c r="DA9" s="10">
        <v>7.0</v>
      </c>
      <c r="DB9" s="11">
        <v>30.0</v>
      </c>
      <c r="DD9" s="12">
        <v>40.0</v>
      </c>
      <c r="DE9" s="10">
        <v>7.0</v>
      </c>
      <c r="DF9" s="10">
        <v>7.0</v>
      </c>
      <c r="DG9" s="11">
        <v>26.0</v>
      </c>
      <c r="DI9" s="12">
        <v>40.0</v>
      </c>
      <c r="DJ9" s="10">
        <v>3.0</v>
      </c>
      <c r="DK9" s="10">
        <v>14.0</v>
      </c>
      <c r="DL9" s="11">
        <v>23.0</v>
      </c>
      <c r="DN9" s="12">
        <v>40.0</v>
      </c>
      <c r="DO9" s="10">
        <v>1.0</v>
      </c>
      <c r="DP9" s="10">
        <v>8.0</v>
      </c>
      <c r="DQ9" s="11">
        <v>31.0</v>
      </c>
      <c r="DS9" s="12">
        <v>40.0</v>
      </c>
      <c r="DT9" s="10">
        <v>3.0</v>
      </c>
      <c r="DU9" s="10">
        <v>11.0</v>
      </c>
      <c r="DV9" s="11">
        <v>26.0</v>
      </c>
      <c r="DX9" s="12">
        <v>40.0</v>
      </c>
      <c r="DY9" s="10">
        <v>5.0</v>
      </c>
      <c r="DZ9" s="10">
        <v>12.0</v>
      </c>
      <c r="EA9" s="11">
        <v>23.0</v>
      </c>
      <c r="EC9" s="12">
        <v>40.0</v>
      </c>
      <c r="ED9" s="10">
        <v>5.0</v>
      </c>
      <c r="EE9" s="10">
        <v>13.0</v>
      </c>
      <c r="EF9" s="11">
        <v>22.0</v>
      </c>
      <c r="EH9" s="12">
        <v>40.0</v>
      </c>
      <c r="EI9" s="10">
        <v>9.0</v>
      </c>
      <c r="EJ9" s="10">
        <v>16.0</v>
      </c>
      <c r="EK9" s="11">
        <v>15.0</v>
      </c>
      <c r="EM9" s="12">
        <v>40.0</v>
      </c>
      <c r="EN9" s="10">
        <v>7.0</v>
      </c>
      <c r="EO9" s="10">
        <v>11.0</v>
      </c>
      <c r="EP9" s="11">
        <v>22.0</v>
      </c>
      <c r="ER9" s="12">
        <v>40.0</v>
      </c>
      <c r="ES9" s="10">
        <v>8.0</v>
      </c>
      <c r="ET9" s="10">
        <v>16.0</v>
      </c>
      <c r="EU9" s="11">
        <v>16.0</v>
      </c>
      <c r="EW9" s="12">
        <v>40.0</v>
      </c>
      <c r="EX9" s="10">
        <v>2.0</v>
      </c>
      <c r="EY9" s="10">
        <v>20.0</v>
      </c>
      <c r="EZ9" s="11">
        <v>18.0</v>
      </c>
      <c r="FB9" s="12">
        <v>40.0</v>
      </c>
      <c r="FC9" s="10">
        <v>5.0</v>
      </c>
      <c r="FD9" s="10">
        <v>8.0</v>
      </c>
      <c r="FE9" s="11">
        <v>27.0</v>
      </c>
      <c r="FG9" s="12">
        <v>40.0</v>
      </c>
      <c r="FH9" s="10">
        <v>5.0</v>
      </c>
      <c r="FI9" s="10">
        <v>10.0</v>
      </c>
      <c r="FJ9" s="11">
        <v>25.0</v>
      </c>
      <c r="FL9" s="12">
        <v>40.0</v>
      </c>
      <c r="FM9" s="10">
        <v>4.0</v>
      </c>
      <c r="FN9" s="10">
        <v>8.0</v>
      </c>
      <c r="FO9" s="11">
        <v>28.0</v>
      </c>
      <c r="FQ9" s="12">
        <v>40.0</v>
      </c>
      <c r="FR9" s="10">
        <v>4.0</v>
      </c>
      <c r="FS9" s="10">
        <v>15.0</v>
      </c>
      <c r="FT9" s="11">
        <v>21.0</v>
      </c>
      <c r="FV9" s="12">
        <v>40.0</v>
      </c>
      <c r="FW9" s="10">
        <v>6.0</v>
      </c>
      <c r="FX9" s="10">
        <v>19.0</v>
      </c>
      <c r="FY9" s="11">
        <v>15.0</v>
      </c>
      <c r="GA9" s="12">
        <v>40.0</v>
      </c>
      <c r="GB9" s="10">
        <v>7.0</v>
      </c>
      <c r="GC9" s="10">
        <v>10.0</v>
      </c>
      <c r="GD9" s="11">
        <v>23.0</v>
      </c>
      <c r="GF9" s="12">
        <v>40.0</v>
      </c>
      <c r="GG9" s="10">
        <v>8.0</v>
      </c>
      <c r="GH9" s="10">
        <v>10.0</v>
      </c>
      <c r="GI9" s="11">
        <v>22.0</v>
      </c>
      <c r="GK9" s="12">
        <v>40.0</v>
      </c>
      <c r="GL9" s="10">
        <v>4.0</v>
      </c>
      <c r="GM9" s="10">
        <v>14.0</v>
      </c>
      <c r="GN9" s="11">
        <v>22.0</v>
      </c>
      <c r="GP9" s="12">
        <v>40.0</v>
      </c>
      <c r="GQ9" s="10">
        <v>8.0</v>
      </c>
      <c r="GR9" s="10">
        <v>6.0</v>
      </c>
      <c r="GS9" s="11">
        <v>26.0</v>
      </c>
      <c r="GU9" s="12">
        <v>40.0</v>
      </c>
      <c r="GV9" s="10">
        <v>3.0</v>
      </c>
      <c r="GW9" s="10">
        <v>14.0</v>
      </c>
      <c r="GX9" s="11">
        <v>23.0</v>
      </c>
      <c r="GZ9" s="12">
        <v>40.0</v>
      </c>
      <c r="HA9" s="10">
        <v>5.0</v>
      </c>
      <c r="HB9" s="10">
        <v>6.0</v>
      </c>
      <c r="HC9" s="11">
        <v>29.0</v>
      </c>
      <c r="HE9" s="12">
        <v>40.0</v>
      </c>
      <c r="HF9" s="10">
        <v>8.0</v>
      </c>
      <c r="HG9" s="10">
        <v>9.0</v>
      </c>
      <c r="HH9" s="11">
        <v>23.0</v>
      </c>
      <c r="HJ9" s="12">
        <v>40.0</v>
      </c>
      <c r="HK9" s="10">
        <v>6.0</v>
      </c>
      <c r="HL9" s="10">
        <v>20.0</v>
      </c>
      <c r="HM9" s="11">
        <v>14.0</v>
      </c>
      <c r="HO9" s="12">
        <v>40.0</v>
      </c>
      <c r="HP9" s="10">
        <v>5.0</v>
      </c>
      <c r="HQ9" s="10">
        <v>13.0</v>
      </c>
      <c r="HR9" s="11">
        <v>22.0</v>
      </c>
      <c r="HT9" s="12">
        <v>40.0</v>
      </c>
      <c r="HU9" s="10">
        <v>6.0</v>
      </c>
      <c r="HV9" s="10">
        <v>18.0</v>
      </c>
      <c r="HW9" s="11">
        <v>16.0</v>
      </c>
      <c r="HY9" s="12">
        <v>40.0</v>
      </c>
      <c r="HZ9" s="10">
        <v>3.0</v>
      </c>
      <c r="IA9" s="10">
        <v>16.0</v>
      </c>
      <c r="IB9" s="11">
        <v>21.0</v>
      </c>
      <c r="ID9" s="12">
        <v>40.0</v>
      </c>
      <c r="IE9" s="10">
        <v>4.0</v>
      </c>
      <c r="IF9" s="10">
        <v>8.0</v>
      </c>
      <c r="IG9" s="11">
        <v>28.0</v>
      </c>
      <c r="II9" s="12">
        <v>40.0</v>
      </c>
      <c r="IJ9" s="10">
        <v>12.0</v>
      </c>
      <c r="IK9" s="10">
        <v>10.0</v>
      </c>
      <c r="IL9" s="11">
        <v>18.0</v>
      </c>
      <c r="IN9" s="12">
        <v>40.0</v>
      </c>
      <c r="IO9" s="10">
        <v>13.0</v>
      </c>
      <c r="IP9" s="10">
        <v>6.0</v>
      </c>
      <c r="IQ9" s="11">
        <v>21.0</v>
      </c>
      <c r="IS9" s="12">
        <v>40.0</v>
      </c>
      <c r="IT9" s="10">
        <v>8.0</v>
      </c>
      <c r="IU9" s="10">
        <v>6.0</v>
      </c>
      <c r="IV9" s="11">
        <v>26.0</v>
      </c>
      <c r="IX9" s="12">
        <v>40.0</v>
      </c>
      <c r="IY9" s="10">
        <v>10.0</v>
      </c>
      <c r="IZ9" s="10">
        <v>15.0</v>
      </c>
      <c r="JA9" s="11">
        <v>15.0</v>
      </c>
      <c r="JC9" s="12">
        <v>40.0</v>
      </c>
      <c r="JD9" s="10">
        <v>9.0</v>
      </c>
      <c r="JE9" s="10">
        <v>6.0</v>
      </c>
      <c r="JF9" s="11">
        <v>25.0</v>
      </c>
      <c r="JH9" s="12">
        <v>40.0</v>
      </c>
      <c r="JI9" s="10">
        <v>4.0</v>
      </c>
      <c r="JJ9" s="10">
        <v>10.0</v>
      </c>
      <c r="JK9" s="11">
        <v>26.0</v>
      </c>
      <c r="JM9" s="12">
        <v>40.0</v>
      </c>
      <c r="JN9" s="10">
        <v>16.0</v>
      </c>
      <c r="JO9" s="10">
        <v>6.0</v>
      </c>
      <c r="JP9" s="11">
        <v>18.0</v>
      </c>
      <c r="JR9" s="12">
        <v>40.0</v>
      </c>
      <c r="JS9" s="10">
        <v>12.0</v>
      </c>
      <c r="JT9" s="10">
        <v>7.0</v>
      </c>
      <c r="JU9" s="11">
        <v>21.0</v>
      </c>
      <c r="JW9" s="12">
        <v>40.0</v>
      </c>
      <c r="JX9" s="10">
        <v>7.0</v>
      </c>
      <c r="JY9" s="10">
        <v>13.0</v>
      </c>
      <c r="JZ9" s="11">
        <v>20.0</v>
      </c>
      <c r="KB9" s="12">
        <v>40.0</v>
      </c>
      <c r="KC9" s="10">
        <v>2.0</v>
      </c>
      <c r="KD9" s="10">
        <v>12.0</v>
      </c>
      <c r="KE9" s="11">
        <v>26.0</v>
      </c>
      <c r="KG9" s="12">
        <v>40.0</v>
      </c>
      <c r="KH9" s="10">
        <v>8.0</v>
      </c>
      <c r="KI9" s="10">
        <v>10.0</v>
      </c>
      <c r="KJ9" s="11">
        <v>22.0</v>
      </c>
      <c r="KL9" s="12">
        <v>40.0</v>
      </c>
      <c r="KM9" s="10">
        <v>2.0</v>
      </c>
      <c r="KN9" s="10">
        <v>18.0</v>
      </c>
      <c r="KO9" s="11">
        <v>20.0</v>
      </c>
      <c r="KQ9" s="12">
        <v>40.0</v>
      </c>
      <c r="KR9" s="10">
        <v>1.0</v>
      </c>
      <c r="KS9" s="10">
        <v>10.0</v>
      </c>
      <c r="KT9" s="11">
        <v>29.0</v>
      </c>
      <c r="KV9" s="12">
        <v>40.0</v>
      </c>
      <c r="KW9" s="10">
        <v>1.0</v>
      </c>
      <c r="KX9" s="10">
        <v>15.0</v>
      </c>
      <c r="KY9" s="11">
        <v>24.0</v>
      </c>
      <c r="LA9" s="12">
        <v>40.0</v>
      </c>
      <c r="LB9" s="10">
        <v>2.0</v>
      </c>
      <c r="LC9" s="10">
        <v>12.0</v>
      </c>
      <c r="LD9" s="11">
        <v>26.0</v>
      </c>
      <c r="LF9" s="12">
        <v>40.0</v>
      </c>
      <c r="LG9" s="10">
        <v>3.0</v>
      </c>
      <c r="LH9" s="10">
        <v>13.0</v>
      </c>
      <c r="LI9" s="11">
        <v>24.0</v>
      </c>
      <c r="LK9" s="12">
        <v>40.0</v>
      </c>
      <c r="LL9" s="10">
        <v>3.0</v>
      </c>
      <c r="LM9" s="10">
        <v>16.0</v>
      </c>
      <c r="LN9" s="11">
        <v>21.0</v>
      </c>
      <c r="LP9" s="12">
        <v>40.0</v>
      </c>
      <c r="LQ9" s="10">
        <v>1.0</v>
      </c>
      <c r="LR9" s="10">
        <v>10.0</v>
      </c>
      <c r="LS9" s="11">
        <v>29.0</v>
      </c>
      <c r="LU9" s="12">
        <v>40.0</v>
      </c>
      <c r="LV9" s="10">
        <v>5.0</v>
      </c>
      <c r="LW9" s="10">
        <v>13.0</v>
      </c>
      <c r="LX9" s="11">
        <v>22.0</v>
      </c>
      <c r="LZ9" s="12">
        <v>40.0</v>
      </c>
      <c r="MA9" s="10">
        <v>1.0</v>
      </c>
      <c r="MB9" s="10">
        <v>17.0</v>
      </c>
      <c r="MC9" s="11">
        <v>22.0</v>
      </c>
      <c r="ME9" s="12">
        <v>40.0</v>
      </c>
      <c r="MF9" s="10">
        <v>1.0</v>
      </c>
      <c r="MG9" s="10">
        <v>9.0</v>
      </c>
      <c r="MH9" s="11">
        <v>30.0</v>
      </c>
      <c r="MJ9" s="12">
        <v>40.0</v>
      </c>
      <c r="MK9" s="10">
        <v>2.0</v>
      </c>
      <c r="ML9" s="10">
        <v>16.0</v>
      </c>
      <c r="MM9" s="11">
        <v>22.0</v>
      </c>
      <c r="MO9" s="12">
        <v>40.0</v>
      </c>
      <c r="MP9" s="10">
        <v>4.0</v>
      </c>
      <c r="MQ9" s="10">
        <v>12.0</v>
      </c>
      <c r="MR9" s="11">
        <v>24.0</v>
      </c>
      <c r="MT9" s="12">
        <v>40.0</v>
      </c>
      <c r="MU9" s="10">
        <v>4.0</v>
      </c>
      <c r="MV9" s="10">
        <v>16.0</v>
      </c>
      <c r="MW9" s="11">
        <v>20.0</v>
      </c>
      <c r="MY9" s="12">
        <v>40.0</v>
      </c>
      <c r="MZ9" s="10">
        <v>11.0</v>
      </c>
      <c r="NA9" s="10">
        <v>10.0</v>
      </c>
      <c r="NB9" s="11">
        <v>19.0</v>
      </c>
      <c r="ND9" s="12">
        <v>40.0</v>
      </c>
      <c r="NE9" s="10">
        <v>12.0</v>
      </c>
      <c r="NF9" s="10">
        <v>10.0</v>
      </c>
      <c r="NG9" s="11">
        <v>18.0</v>
      </c>
      <c r="NI9" s="12">
        <v>40.0</v>
      </c>
      <c r="NJ9" s="10">
        <v>5.0</v>
      </c>
      <c r="NK9" s="10">
        <v>12.0</v>
      </c>
      <c r="NL9" s="11">
        <v>23.0</v>
      </c>
      <c r="NN9" s="12">
        <v>40.0</v>
      </c>
      <c r="NO9" s="10">
        <v>17.0</v>
      </c>
      <c r="NP9" s="10">
        <v>7.0</v>
      </c>
      <c r="NQ9" s="11">
        <v>16.0</v>
      </c>
      <c r="NS9" s="12">
        <v>40.0</v>
      </c>
      <c r="NT9" s="10">
        <v>6.0</v>
      </c>
      <c r="NU9" s="10">
        <v>12.0</v>
      </c>
      <c r="NV9" s="11">
        <v>22.0</v>
      </c>
      <c r="NX9" s="12">
        <v>40.0</v>
      </c>
      <c r="NY9" s="10">
        <v>10.0</v>
      </c>
      <c r="NZ9" s="10">
        <v>5.0</v>
      </c>
      <c r="OA9" s="11">
        <v>25.0</v>
      </c>
      <c r="OC9" s="12">
        <v>40.0</v>
      </c>
      <c r="OD9" s="10">
        <v>11.0</v>
      </c>
      <c r="OE9" s="10">
        <v>6.0</v>
      </c>
      <c r="OF9" s="11">
        <v>23.0</v>
      </c>
      <c r="OH9" s="12">
        <v>40.0</v>
      </c>
      <c r="OI9" s="10">
        <v>10.0</v>
      </c>
      <c r="OJ9" s="10">
        <v>9.0</v>
      </c>
      <c r="OK9" s="11">
        <v>21.0</v>
      </c>
      <c r="OM9" s="12">
        <v>40.0</v>
      </c>
      <c r="ON9" s="10">
        <v>4.0</v>
      </c>
      <c r="OO9" s="10">
        <v>11.0</v>
      </c>
      <c r="OP9" s="11">
        <v>25.0</v>
      </c>
      <c r="OR9" s="12">
        <v>40.0</v>
      </c>
      <c r="OS9" s="10">
        <v>3.0</v>
      </c>
      <c r="OT9" s="10">
        <v>15.0</v>
      </c>
      <c r="OU9" s="11">
        <v>22.0</v>
      </c>
      <c r="OW9" s="12">
        <v>40.0</v>
      </c>
      <c r="OX9" s="10">
        <v>3.0</v>
      </c>
      <c r="OY9" s="10">
        <v>10.0</v>
      </c>
      <c r="OZ9" s="11">
        <v>27.0</v>
      </c>
      <c r="PB9" s="12">
        <v>40.0</v>
      </c>
      <c r="PC9" s="10">
        <v>1.0</v>
      </c>
      <c r="PD9" s="10">
        <v>22.0</v>
      </c>
      <c r="PE9" s="11">
        <v>17.0</v>
      </c>
      <c r="PG9" s="12">
        <v>40.0</v>
      </c>
      <c r="PH9" s="10">
        <v>2.0</v>
      </c>
      <c r="PI9" s="10">
        <v>7.0</v>
      </c>
      <c r="PJ9" s="11">
        <v>31.0</v>
      </c>
      <c r="PL9" s="12">
        <v>40.0</v>
      </c>
      <c r="PM9" s="10">
        <v>7.0</v>
      </c>
      <c r="PN9" s="10">
        <v>6.0</v>
      </c>
      <c r="PO9" s="11">
        <v>27.0</v>
      </c>
      <c r="PQ9" s="12">
        <v>40.0</v>
      </c>
      <c r="PR9" s="10">
        <v>5.0</v>
      </c>
      <c r="PS9" s="10">
        <v>9.0</v>
      </c>
      <c r="PT9" s="11">
        <v>26.0</v>
      </c>
      <c r="PV9" s="12">
        <v>40.0</v>
      </c>
      <c r="PW9" s="10">
        <v>3.0</v>
      </c>
      <c r="PX9" s="10">
        <v>14.0</v>
      </c>
      <c r="PY9" s="11">
        <v>23.0</v>
      </c>
      <c r="QA9" s="12">
        <v>40.0</v>
      </c>
      <c r="QB9" s="10">
        <v>3.0</v>
      </c>
      <c r="QC9" s="10">
        <v>17.0</v>
      </c>
      <c r="QD9" s="11">
        <v>20.0</v>
      </c>
      <c r="QF9" s="12">
        <v>40.0</v>
      </c>
      <c r="QG9" s="10">
        <v>4.0</v>
      </c>
      <c r="QH9" s="10">
        <v>12.0</v>
      </c>
      <c r="QI9" s="11">
        <v>24.0</v>
      </c>
      <c r="QK9" s="12">
        <v>40.0</v>
      </c>
      <c r="QL9" s="10">
        <v>4.0</v>
      </c>
      <c r="QM9" s="10">
        <v>11.0</v>
      </c>
      <c r="QN9" s="11">
        <v>25.0</v>
      </c>
      <c r="QP9" s="12">
        <v>40.0</v>
      </c>
      <c r="QQ9" s="10">
        <v>2.0</v>
      </c>
      <c r="QR9" s="10">
        <v>12.0</v>
      </c>
      <c r="QS9" s="11">
        <v>26.0</v>
      </c>
      <c r="QU9" s="12">
        <v>40.0</v>
      </c>
      <c r="QV9" s="10">
        <v>5.0</v>
      </c>
      <c r="QW9" s="10">
        <v>9.0</v>
      </c>
      <c r="QX9" s="11">
        <v>26.0</v>
      </c>
      <c r="QZ9" s="12">
        <v>40.0</v>
      </c>
      <c r="RA9" s="10">
        <v>2.0</v>
      </c>
      <c r="RB9" s="10">
        <v>14.0</v>
      </c>
      <c r="RC9" s="11">
        <v>24.0</v>
      </c>
      <c r="RE9" s="12">
        <v>40.0</v>
      </c>
      <c r="RF9" s="10">
        <v>4.0</v>
      </c>
      <c r="RG9" s="10">
        <v>7.0</v>
      </c>
      <c r="RH9" s="11">
        <v>29.0</v>
      </c>
      <c r="RJ9" s="12">
        <v>40.0</v>
      </c>
      <c r="RK9" s="10">
        <v>6.0</v>
      </c>
      <c r="RL9" s="10">
        <v>8.0</v>
      </c>
      <c r="RM9" s="11">
        <v>26.0</v>
      </c>
      <c r="RO9" s="12">
        <v>40.0</v>
      </c>
      <c r="RP9" s="10">
        <v>13.0</v>
      </c>
      <c r="RQ9" s="10">
        <v>7.0</v>
      </c>
      <c r="RR9" s="11">
        <v>20.0</v>
      </c>
      <c r="RT9" s="12">
        <v>40.0</v>
      </c>
      <c r="RU9" s="10">
        <v>7.0</v>
      </c>
      <c r="RV9" s="10">
        <v>13.0</v>
      </c>
      <c r="RW9" s="11">
        <v>20.0</v>
      </c>
      <c r="RY9" s="12">
        <v>40.0</v>
      </c>
      <c r="RZ9" s="10">
        <v>7.0</v>
      </c>
      <c r="SA9" s="10">
        <v>13.0</v>
      </c>
      <c r="SB9" s="11">
        <v>20.0</v>
      </c>
      <c r="SD9" s="12">
        <v>40.0</v>
      </c>
      <c r="SE9" s="10">
        <v>7.0</v>
      </c>
      <c r="SF9" s="10">
        <v>10.0</v>
      </c>
      <c r="SG9" s="11">
        <v>23.0</v>
      </c>
      <c r="SI9" s="12">
        <v>40.0</v>
      </c>
      <c r="SJ9" s="10">
        <v>5.0</v>
      </c>
      <c r="SK9" s="10">
        <v>12.0</v>
      </c>
      <c r="SL9" s="11">
        <v>23.0</v>
      </c>
      <c r="SN9" s="12">
        <v>40.0</v>
      </c>
      <c r="SO9" s="10">
        <v>9.0</v>
      </c>
      <c r="SP9" s="10">
        <v>5.0</v>
      </c>
      <c r="SQ9" s="11">
        <v>26.0</v>
      </c>
      <c r="SS9" s="12">
        <v>40.0</v>
      </c>
      <c r="ST9" s="10">
        <v>10.0</v>
      </c>
      <c r="SU9" s="10">
        <v>8.0</v>
      </c>
      <c r="SV9" s="11">
        <v>22.0</v>
      </c>
      <c r="SX9" s="12">
        <v>40.0</v>
      </c>
      <c r="SY9" s="10">
        <v>6.0</v>
      </c>
      <c r="SZ9" s="10">
        <v>7.0</v>
      </c>
      <c r="TA9" s="11">
        <v>27.0</v>
      </c>
      <c r="TC9" s="12">
        <v>40.0</v>
      </c>
      <c r="TD9" s="10">
        <v>4.0</v>
      </c>
      <c r="TE9" s="10">
        <v>13.0</v>
      </c>
      <c r="TF9" s="11">
        <v>23.0</v>
      </c>
      <c r="TH9" s="12">
        <v>40.0</v>
      </c>
      <c r="TI9" s="10">
        <v>3.0</v>
      </c>
      <c r="TJ9" s="10">
        <v>22.0</v>
      </c>
      <c r="TK9" s="11">
        <v>15.0</v>
      </c>
      <c r="TM9" s="12">
        <v>40.0</v>
      </c>
      <c r="TN9" s="10">
        <v>4.0</v>
      </c>
      <c r="TO9" s="10">
        <v>13.0</v>
      </c>
      <c r="TP9" s="11">
        <v>23.0</v>
      </c>
      <c r="TR9" s="12">
        <v>40.0</v>
      </c>
      <c r="TS9" s="10">
        <v>6.0</v>
      </c>
      <c r="TT9" s="10">
        <v>9.0</v>
      </c>
      <c r="TU9" s="11">
        <v>25.0</v>
      </c>
      <c r="TW9" s="12">
        <v>40.0</v>
      </c>
      <c r="TX9" s="10">
        <v>5.0</v>
      </c>
      <c r="TY9" s="10">
        <v>16.0</v>
      </c>
      <c r="TZ9" s="11">
        <v>19.0</v>
      </c>
      <c r="UB9" s="12">
        <v>40.0</v>
      </c>
      <c r="UC9" s="10">
        <v>1.0</v>
      </c>
      <c r="UD9" s="10">
        <v>10.0</v>
      </c>
      <c r="UE9" s="11">
        <v>29.0</v>
      </c>
      <c r="UG9" s="12">
        <v>40.0</v>
      </c>
      <c r="UH9" s="10">
        <v>2.0</v>
      </c>
      <c r="UI9" s="10">
        <v>21.0</v>
      </c>
      <c r="UJ9" s="11">
        <v>17.0</v>
      </c>
      <c r="UL9" s="12">
        <v>40.0</v>
      </c>
      <c r="UM9" s="10">
        <v>1.0</v>
      </c>
      <c r="UN9" s="10">
        <v>13.0</v>
      </c>
      <c r="UO9" s="11">
        <v>26.0</v>
      </c>
      <c r="UQ9" s="12">
        <v>40.0</v>
      </c>
      <c r="UR9" s="10">
        <v>1.0</v>
      </c>
      <c r="US9" s="10">
        <v>13.0</v>
      </c>
      <c r="UT9" s="11">
        <v>26.0</v>
      </c>
      <c r="UV9" s="12">
        <v>40.0</v>
      </c>
      <c r="UW9" s="10">
        <v>4.0</v>
      </c>
      <c r="UX9" s="10">
        <v>18.0</v>
      </c>
      <c r="UY9" s="11">
        <v>18.0</v>
      </c>
      <c r="VA9" s="12">
        <v>40.0</v>
      </c>
      <c r="VB9" s="10">
        <v>3.0</v>
      </c>
      <c r="VC9" s="10">
        <v>8.0</v>
      </c>
      <c r="VD9" s="11">
        <v>29.0</v>
      </c>
      <c r="VF9" s="12">
        <v>40.0</v>
      </c>
      <c r="VG9" s="10">
        <v>4.0</v>
      </c>
      <c r="VH9" s="10">
        <v>8.0</v>
      </c>
      <c r="VI9" s="11">
        <v>28.0</v>
      </c>
      <c r="VK9" s="12">
        <v>40.0</v>
      </c>
      <c r="VL9" s="10">
        <v>3.0</v>
      </c>
      <c r="VM9" s="10">
        <v>4.0</v>
      </c>
      <c r="VN9" s="11">
        <v>33.0</v>
      </c>
      <c r="VP9" s="12">
        <v>40.0</v>
      </c>
      <c r="VQ9" s="10">
        <v>3.0</v>
      </c>
      <c r="VR9" s="10">
        <v>11.0</v>
      </c>
      <c r="VS9" s="11">
        <v>26.0</v>
      </c>
      <c r="VU9" s="12">
        <v>40.0</v>
      </c>
      <c r="VV9" s="10">
        <v>2.0</v>
      </c>
      <c r="VW9" s="10">
        <v>15.0</v>
      </c>
      <c r="VX9" s="11">
        <v>23.0</v>
      </c>
      <c r="VZ9" s="12">
        <v>40.0</v>
      </c>
      <c r="WA9" s="10">
        <v>2.0</v>
      </c>
      <c r="WB9" s="10">
        <v>9.0</v>
      </c>
      <c r="WC9" s="11">
        <v>29.0</v>
      </c>
      <c r="WE9" s="12">
        <v>40.0</v>
      </c>
      <c r="WF9" s="10">
        <v>10.0</v>
      </c>
      <c r="WG9" s="10">
        <v>13.0</v>
      </c>
      <c r="WH9" s="11">
        <v>17.0</v>
      </c>
      <c r="WJ9" s="12">
        <v>40.0</v>
      </c>
      <c r="WK9" s="10">
        <v>3.0</v>
      </c>
      <c r="WL9" s="10">
        <v>19.0</v>
      </c>
      <c r="WM9" s="11">
        <v>18.0</v>
      </c>
      <c r="WO9" s="12">
        <v>40.0</v>
      </c>
      <c r="WP9" s="10">
        <v>10.0</v>
      </c>
      <c r="WQ9" s="10">
        <v>14.0</v>
      </c>
      <c r="WR9" s="11">
        <v>16.0</v>
      </c>
      <c r="WT9" s="12">
        <v>40.0</v>
      </c>
      <c r="WU9" s="10">
        <v>9.0</v>
      </c>
      <c r="WV9" s="10">
        <v>8.0</v>
      </c>
      <c r="WW9" s="11">
        <v>23.0</v>
      </c>
      <c r="WY9" s="12">
        <v>40.0</v>
      </c>
      <c r="WZ9" s="10">
        <v>1.0</v>
      </c>
      <c r="XA9" s="10">
        <v>11.0</v>
      </c>
      <c r="XB9" s="11">
        <v>28.0</v>
      </c>
      <c r="XD9" s="12">
        <v>40.0</v>
      </c>
      <c r="XE9" s="10">
        <v>10.0</v>
      </c>
      <c r="XF9" s="10">
        <v>10.0</v>
      </c>
      <c r="XG9" s="11">
        <v>20.0</v>
      </c>
      <c r="XI9" s="12">
        <v>40.0</v>
      </c>
      <c r="XJ9" s="10">
        <v>10.0</v>
      </c>
      <c r="XK9" s="10">
        <v>10.0</v>
      </c>
      <c r="XL9" s="11">
        <v>20.0</v>
      </c>
      <c r="XN9" s="12">
        <v>40.0</v>
      </c>
      <c r="XO9" s="10">
        <v>6.0</v>
      </c>
      <c r="XP9" s="10">
        <v>17.0</v>
      </c>
      <c r="XQ9" s="11">
        <v>17.0</v>
      </c>
      <c r="XS9" s="12">
        <v>40.0</v>
      </c>
      <c r="XT9" s="10">
        <v>6.0</v>
      </c>
      <c r="XU9" s="10">
        <v>19.0</v>
      </c>
      <c r="XV9" s="11">
        <v>15.0</v>
      </c>
      <c r="XX9" s="12">
        <v>40.0</v>
      </c>
      <c r="XY9" s="10">
        <v>4.0</v>
      </c>
      <c r="XZ9" s="10">
        <v>16.0</v>
      </c>
      <c r="YA9" s="11">
        <v>20.0</v>
      </c>
      <c r="YC9" s="12">
        <v>40.0</v>
      </c>
      <c r="YD9" s="10">
        <v>4.0</v>
      </c>
      <c r="YE9" s="10">
        <v>12.0</v>
      </c>
      <c r="YF9" s="11">
        <v>24.0</v>
      </c>
      <c r="YH9" s="12">
        <v>40.0</v>
      </c>
      <c r="YI9" s="10">
        <v>5.0</v>
      </c>
      <c r="YJ9" s="10">
        <v>12.0</v>
      </c>
      <c r="YK9" s="11">
        <v>23.0</v>
      </c>
      <c r="YM9" s="12">
        <v>40.0</v>
      </c>
      <c r="YN9" s="10">
        <v>3.0</v>
      </c>
      <c r="YO9" s="10">
        <v>15.0</v>
      </c>
      <c r="YP9" s="11">
        <v>22.0</v>
      </c>
      <c r="YR9" s="12">
        <v>40.0</v>
      </c>
      <c r="YS9" s="10">
        <v>3.0</v>
      </c>
      <c r="YT9" s="10">
        <v>17.0</v>
      </c>
      <c r="YU9" s="11">
        <v>20.0</v>
      </c>
      <c r="YW9" s="12">
        <v>40.0</v>
      </c>
      <c r="YX9" s="10">
        <v>6.0</v>
      </c>
      <c r="YY9" s="10">
        <v>18.0</v>
      </c>
      <c r="YZ9" s="11">
        <v>16.0</v>
      </c>
      <c r="ZB9" s="12">
        <v>40.0</v>
      </c>
      <c r="ZC9" s="10">
        <v>4.0</v>
      </c>
      <c r="ZD9" s="10">
        <v>15.0</v>
      </c>
      <c r="ZE9" s="11">
        <v>21.0</v>
      </c>
      <c r="ZG9" s="12">
        <v>40.0</v>
      </c>
      <c r="ZH9" s="10">
        <v>2.0</v>
      </c>
      <c r="ZI9" s="10">
        <v>19.0</v>
      </c>
      <c r="ZJ9" s="11">
        <v>19.0</v>
      </c>
      <c r="ZL9" s="12">
        <v>40.0</v>
      </c>
      <c r="ZM9" s="10">
        <v>2.0</v>
      </c>
      <c r="ZN9" s="10">
        <v>18.0</v>
      </c>
      <c r="ZO9" s="11">
        <v>20.0</v>
      </c>
      <c r="ZQ9" s="12">
        <v>40.0</v>
      </c>
      <c r="ZR9" s="10">
        <v>6.0</v>
      </c>
      <c r="ZS9" s="10">
        <v>12.0</v>
      </c>
      <c r="ZT9" s="11">
        <v>22.0</v>
      </c>
      <c r="ZV9" s="12">
        <v>40.0</v>
      </c>
      <c r="ZW9" s="10">
        <v>6.0</v>
      </c>
      <c r="ZX9" s="10">
        <v>9.0</v>
      </c>
      <c r="ZY9" s="11">
        <v>25.0</v>
      </c>
      <c r="AAA9" s="12">
        <v>40.0</v>
      </c>
      <c r="AAB9" s="10">
        <v>3.0</v>
      </c>
      <c r="AAC9" s="10">
        <v>11.0</v>
      </c>
      <c r="AAD9" s="11">
        <v>26.0</v>
      </c>
      <c r="AAF9" s="12">
        <v>40.0</v>
      </c>
      <c r="AAG9" s="10">
        <v>5.0</v>
      </c>
      <c r="AAH9" s="10">
        <v>14.0</v>
      </c>
      <c r="AAI9" s="11">
        <v>21.0</v>
      </c>
      <c r="AAK9" s="12">
        <v>40.0</v>
      </c>
      <c r="AAL9" s="10">
        <v>1.0</v>
      </c>
      <c r="AAM9" s="10">
        <v>25.0</v>
      </c>
      <c r="AAN9" s="11">
        <v>14.0</v>
      </c>
      <c r="AAP9" s="12">
        <v>40.0</v>
      </c>
      <c r="AAQ9" s="10">
        <v>2.0</v>
      </c>
      <c r="AAR9" s="10">
        <v>21.0</v>
      </c>
      <c r="AAS9" s="11">
        <v>17.0</v>
      </c>
      <c r="AAU9" s="12">
        <v>40.0</v>
      </c>
      <c r="AAV9" s="10">
        <v>11.0</v>
      </c>
      <c r="AAW9" s="10">
        <v>7.0</v>
      </c>
      <c r="AAX9" s="11">
        <v>22.0</v>
      </c>
      <c r="AAZ9" s="12">
        <v>40.0</v>
      </c>
      <c r="ABA9" s="10">
        <v>4.0</v>
      </c>
      <c r="ABB9" s="10">
        <v>7.0</v>
      </c>
      <c r="ABC9" s="11">
        <v>29.0</v>
      </c>
      <c r="ABE9" s="12">
        <v>40.0</v>
      </c>
      <c r="ABF9" s="10">
        <v>7.0</v>
      </c>
      <c r="ABG9" s="10">
        <v>9.0</v>
      </c>
      <c r="ABH9" s="11">
        <v>24.0</v>
      </c>
      <c r="ABJ9" s="12">
        <v>40.0</v>
      </c>
      <c r="ABK9" s="10">
        <v>11.0</v>
      </c>
      <c r="ABL9" s="10">
        <v>9.0</v>
      </c>
      <c r="ABM9" s="11">
        <v>20.0</v>
      </c>
      <c r="ABO9" s="12">
        <v>40.0</v>
      </c>
      <c r="ABP9" s="10">
        <v>5.0</v>
      </c>
      <c r="ABQ9" s="10">
        <v>9.0</v>
      </c>
      <c r="ABR9" s="11">
        <v>26.0</v>
      </c>
      <c r="ABT9" s="12">
        <v>40.0</v>
      </c>
      <c r="ABU9" s="10">
        <v>7.0</v>
      </c>
      <c r="ABV9" s="10">
        <v>10.0</v>
      </c>
      <c r="ABW9" s="11">
        <v>23.0</v>
      </c>
      <c r="ABY9" s="12">
        <v>40.0</v>
      </c>
      <c r="ABZ9" s="10">
        <v>1.0</v>
      </c>
      <c r="ACA9" s="10">
        <v>10.0</v>
      </c>
      <c r="ACB9" s="11">
        <v>29.0</v>
      </c>
      <c r="ACD9" s="12">
        <v>40.0</v>
      </c>
      <c r="ACE9" s="10">
        <v>9.0</v>
      </c>
      <c r="ACF9" s="10">
        <v>7.0</v>
      </c>
      <c r="ACG9" s="11">
        <v>24.0</v>
      </c>
      <c r="ACI9" s="12">
        <v>40.0</v>
      </c>
      <c r="ACJ9" s="10">
        <v>3.0</v>
      </c>
      <c r="ACK9" s="10">
        <v>10.0</v>
      </c>
      <c r="ACL9" s="11">
        <v>27.0</v>
      </c>
      <c r="ACN9" s="12">
        <v>40.0</v>
      </c>
      <c r="ACO9" s="10">
        <v>3.0</v>
      </c>
      <c r="ACP9" s="10">
        <v>3.0</v>
      </c>
      <c r="ACQ9" s="11">
        <v>34.0</v>
      </c>
      <c r="ACS9" s="12">
        <v>40.0</v>
      </c>
      <c r="ACT9" s="10">
        <v>4.0</v>
      </c>
      <c r="ACU9" s="10">
        <v>9.0</v>
      </c>
      <c r="ACV9" s="11">
        <v>27.0</v>
      </c>
      <c r="ACX9" s="12">
        <v>40.0</v>
      </c>
      <c r="ACY9" s="10">
        <v>0.0</v>
      </c>
      <c r="ACZ9" s="10">
        <v>18.0</v>
      </c>
      <c r="ADA9" s="11">
        <v>22.0</v>
      </c>
      <c r="ADC9" s="12">
        <v>40.0</v>
      </c>
      <c r="ADD9" s="10">
        <v>2.0</v>
      </c>
      <c r="ADE9" s="10">
        <v>9.0</v>
      </c>
      <c r="ADF9" s="11">
        <v>29.0</v>
      </c>
      <c r="ADH9" s="12">
        <v>40.0</v>
      </c>
      <c r="ADI9" s="10">
        <v>1.0</v>
      </c>
      <c r="ADJ9" s="10">
        <v>13.0</v>
      </c>
      <c r="ADK9" s="11">
        <v>26.0</v>
      </c>
      <c r="ADM9" s="12">
        <v>40.0</v>
      </c>
      <c r="ADN9" s="10">
        <v>1.0</v>
      </c>
      <c r="ADO9" s="10">
        <v>7.0</v>
      </c>
      <c r="ADP9" s="11">
        <v>32.0</v>
      </c>
      <c r="ADR9" s="12">
        <v>40.0</v>
      </c>
      <c r="ADS9" s="10">
        <v>1.0</v>
      </c>
      <c r="ADT9" s="10">
        <v>9.0</v>
      </c>
      <c r="ADU9" s="11">
        <v>30.0</v>
      </c>
      <c r="ADW9" s="12">
        <v>40.0</v>
      </c>
      <c r="ADX9" s="10">
        <v>2.0</v>
      </c>
      <c r="ADY9" s="10">
        <v>11.0</v>
      </c>
      <c r="ADZ9" s="11">
        <v>27.0</v>
      </c>
      <c r="AEB9" s="12">
        <v>40.0</v>
      </c>
      <c r="AEC9" s="10">
        <v>1.0</v>
      </c>
      <c r="AED9" s="10">
        <v>5.0</v>
      </c>
      <c r="AEE9" s="11">
        <v>34.0</v>
      </c>
      <c r="AEG9" s="12">
        <v>40.0</v>
      </c>
      <c r="AEH9" s="10">
        <v>1.0</v>
      </c>
      <c r="AEI9" s="10">
        <v>12.0</v>
      </c>
      <c r="AEJ9" s="11">
        <v>27.0</v>
      </c>
      <c r="AEL9" s="12">
        <v>40.0</v>
      </c>
      <c r="AEM9" s="10">
        <v>3.0</v>
      </c>
      <c r="AEN9" s="10">
        <v>17.0</v>
      </c>
      <c r="AEO9" s="11">
        <v>20.0</v>
      </c>
      <c r="AEQ9" s="12">
        <v>40.0</v>
      </c>
      <c r="AER9" s="10">
        <v>3.0</v>
      </c>
      <c r="AES9" s="10">
        <v>6.0</v>
      </c>
      <c r="AET9" s="11">
        <v>31.0</v>
      </c>
      <c r="AEV9" s="12">
        <v>40.0</v>
      </c>
      <c r="AEW9" s="10">
        <v>3.0</v>
      </c>
      <c r="AEX9" s="10">
        <v>13.0</v>
      </c>
      <c r="AEY9" s="11">
        <v>24.0</v>
      </c>
      <c r="AFA9" s="12">
        <v>40.0</v>
      </c>
      <c r="AFB9" s="10">
        <v>3.0</v>
      </c>
      <c r="AFC9" s="10">
        <v>6.0</v>
      </c>
      <c r="AFD9" s="11">
        <v>31.0</v>
      </c>
      <c r="AFF9" s="12">
        <v>40.0</v>
      </c>
      <c r="AFG9" s="10">
        <v>1.0</v>
      </c>
      <c r="AFH9" s="10">
        <v>9.0</v>
      </c>
      <c r="AFI9" s="11">
        <v>30.0</v>
      </c>
      <c r="AFK9" s="12">
        <v>40.0</v>
      </c>
      <c r="AFL9" s="10">
        <v>7.0</v>
      </c>
      <c r="AFM9" s="10">
        <v>8.0</v>
      </c>
      <c r="AFN9" s="11">
        <v>25.0</v>
      </c>
      <c r="AFP9" s="12">
        <v>40.0</v>
      </c>
      <c r="AFQ9" s="10">
        <v>5.0</v>
      </c>
      <c r="AFR9" s="10">
        <v>7.0</v>
      </c>
      <c r="AFS9" s="11">
        <v>28.0</v>
      </c>
      <c r="AFU9" s="12">
        <v>40.0</v>
      </c>
      <c r="AFV9" s="10">
        <v>5.0</v>
      </c>
      <c r="AFW9" s="10">
        <v>7.0</v>
      </c>
      <c r="AFX9" s="11">
        <v>28.0</v>
      </c>
      <c r="AFZ9" s="12">
        <v>40.0</v>
      </c>
      <c r="AGA9" s="10">
        <v>5.0</v>
      </c>
      <c r="AGB9" s="10">
        <v>14.0</v>
      </c>
      <c r="AGC9" s="11">
        <v>21.0</v>
      </c>
      <c r="AGE9" s="12">
        <v>40.0</v>
      </c>
      <c r="AGF9" s="10">
        <v>8.0</v>
      </c>
      <c r="AGG9" s="10">
        <v>5.0</v>
      </c>
      <c r="AGH9" s="11">
        <v>27.0</v>
      </c>
      <c r="AGJ9" s="12">
        <v>40.0</v>
      </c>
      <c r="AGK9" s="10">
        <v>11.0</v>
      </c>
      <c r="AGL9" s="10">
        <v>8.0</v>
      </c>
      <c r="AGM9" s="11">
        <v>21.0</v>
      </c>
      <c r="AGO9" s="12">
        <v>40.0</v>
      </c>
      <c r="AGP9" s="10">
        <v>11.0</v>
      </c>
      <c r="AGQ9" s="10">
        <v>6.0</v>
      </c>
      <c r="AGR9" s="11">
        <v>23.0</v>
      </c>
      <c r="AGT9" s="12">
        <v>40.0</v>
      </c>
      <c r="AGU9" s="10">
        <v>4.0</v>
      </c>
      <c r="AGV9" s="10">
        <v>14.0</v>
      </c>
      <c r="AGW9" s="11">
        <v>22.0</v>
      </c>
      <c r="AGY9" s="12">
        <v>40.0</v>
      </c>
      <c r="AGZ9" s="10">
        <v>2.0</v>
      </c>
      <c r="AHA9" s="10">
        <v>11.0</v>
      </c>
      <c r="AHB9" s="11">
        <v>27.0</v>
      </c>
      <c r="AHD9" s="12">
        <v>40.0</v>
      </c>
      <c r="AHE9" s="10">
        <v>4.0</v>
      </c>
      <c r="AHF9" s="10">
        <v>8.0</v>
      </c>
      <c r="AHG9" s="11">
        <v>28.0</v>
      </c>
      <c r="AHI9" s="12">
        <v>40.0</v>
      </c>
      <c r="AHJ9" s="10">
        <v>2.0</v>
      </c>
      <c r="AHK9" s="10">
        <v>10.0</v>
      </c>
      <c r="AHL9" s="11">
        <v>28.0</v>
      </c>
      <c r="AHN9" s="12">
        <v>40.0</v>
      </c>
      <c r="AHO9" s="10">
        <v>7.0</v>
      </c>
      <c r="AHP9" s="10">
        <v>11.0</v>
      </c>
      <c r="AHQ9" s="11">
        <v>22.0</v>
      </c>
      <c r="AHS9" s="12">
        <v>40.0</v>
      </c>
      <c r="AHT9" s="10">
        <v>5.0</v>
      </c>
      <c r="AHU9" s="10">
        <v>6.0</v>
      </c>
      <c r="AHV9" s="11">
        <v>29.0</v>
      </c>
      <c r="AHX9" s="12">
        <v>40.0</v>
      </c>
      <c r="AHY9" s="10">
        <v>2.0</v>
      </c>
      <c r="AHZ9" s="10">
        <v>11.0</v>
      </c>
      <c r="AIA9" s="11">
        <v>27.0</v>
      </c>
      <c r="AIC9" s="12">
        <v>40.0</v>
      </c>
      <c r="AID9" s="10">
        <v>2.0</v>
      </c>
      <c r="AIE9" s="10">
        <v>7.0</v>
      </c>
      <c r="AIF9" s="11">
        <v>31.0</v>
      </c>
      <c r="AIH9" s="12">
        <v>40.0</v>
      </c>
      <c r="AII9" s="10">
        <v>2.0</v>
      </c>
      <c r="AIJ9" s="10">
        <v>17.0</v>
      </c>
      <c r="AIK9" s="11">
        <v>21.0</v>
      </c>
      <c r="AIM9" s="12">
        <v>40.0</v>
      </c>
      <c r="AIN9" s="10">
        <v>0.0</v>
      </c>
      <c r="AIO9" s="10">
        <v>15.0</v>
      </c>
      <c r="AIP9" s="11">
        <v>25.0</v>
      </c>
      <c r="AIR9" s="12">
        <v>40.0</v>
      </c>
      <c r="AIS9" s="10">
        <v>1.0</v>
      </c>
      <c r="AIT9" s="10">
        <v>8.0</v>
      </c>
      <c r="AIU9" s="11">
        <v>31.0</v>
      </c>
      <c r="AIW9" s="12">
        <v>40.0</v>
      </c>
      <c r="AIX9" s="10">
        <v>4.0</v>
      </c>
      <c r="AIY9" s="10">
        <v>12.0</v>
      </c>
      <c r="AIZ9" s="11">
        <v>24.0</v>
      </c>
      <c r="AJB9" s="12">
        <v>40.0</v>
      </c>
      <c r="AJC9" s="10">
        <v>2.0</v>
      </c>
      <c r="AJD9" s="10">
        <v>15.0</v>
      </c>
      <c r="AJE9" s="11">
        <v>23.0</v>
      </c>
      <c r="AJG9" s="12">
        <v>40.0</v>
      </c>
      <c r="AJH9" s="10">
        <v>4.0</v>
      </c>
      <c r="AJI9" s="10">
        <v>7.0</v>
      </c>
      <c r="AJJ9" s="11">
        <v>29.0</v>
      </c>
      <c r="AJL9" s="12">
        <v>40.0</v>
      </c>
      <c r="AJM9" s="10">
        <v>2.0</v>
      </c>
      <c r="AJN9" s="10">
        <v>12.0</v>
      </c>
      <c r="AJO9" s="11">
        <v>26.0</v>
      </c>
      <c r="AJQ9" s="12">
        <v>40.0</v>
      </c>
      <c r="AJR9" s="10">
        <v>4.0</v>
      </c>
      <c r="AJS9" s="10">
        <v>5.0</v>
      </c>
      <c r="AJT9" s="11">
        <v>31.0</v>
      </c>
      <c r="AJV9" s="12">
        <v>40.0</v>
      </c>
      <c r="AJW9" s="10">
        <v>2.0</v>
      </c>
      <c r="AJX9" s="10">
        <v>16.0</v>
      </c>
      <c r="AJY9" s="11">
        <v>22.0</v>
      </c>
    </row>
    <row r="10">
      <c r="A10" s="13"/>
      <c r="B10" s="14" t="s">
        <v>202</v>
      </c>
      <c r="C10" s="15">
        <v>0.0</v>
      </c>
      <c r="D10" s="15">
        <v>0.0</v>
      </c>
      <c r="E10" s="15">
        <v>0.0</v>
      </c>
      <c r="F10" s="16">
        <v>0.0</v>
      </c>
      <c r="H10" s="17">
        <v>0.0</v>
      </c>
      <c r="I10" s="15">
        <v>0.0</v>
      </c>
      <c r="J10" s="15">
        <v>0.0</v>
      </c>
      <c r="K10" s="16">
        <v>0.0</v>
      </c>
      <c r="M10" s="17">
        <v>0.0</v>
      </c>
      <c r="N10" s="15">
        <v>0.0</v>
      </c>
      <c r="O10" s="15">
        <v>0.0</v>
      </c>
      <c r="P10" s="16">
        <v>0.0</v>
      </c>
      <c r="R10" s="17">
        <v>0.0</v>
      </c>
      <c r="S10" s="15">
        <v>0.0</v>
      </c>
      <c r="T10" s="15">
        <v>0.0</v>
      </c>
      <c r="U10" s="16">
        <v>0.0</v>
      </c>
      <c r="W10" s="17">
        <v>0.0</v>
      </c>
      <c r="X10" s="15">
        <v>0.0</v>
      </c>
      <c r="Y10" s="15">
        <v>0.0</v>
      </c>
      <c r="Z10" s="16">
        <v>0.0</v>
      </c>
      <c r="AB10" s="17">
        <v>0.0</v>
      </c>
      <c r="AC10" s="15">
        <v>0.0</v>
      </c>
      <c r="AD10" s="15">
        <v>0.0</v>
      </c>
      <c r="AE10" s="16">
        <v>0.0</v>
      </c>
      <c r="AG10" s="17">
        <v>0.0</v>
      </c>
      <c r="AH10" s="15">
        <v>0.0</v>
      </c>
      <c r="AI10" s="15">
        <v>0.0</v>
      </c>
      <c r="AJ10" s="16">
        <v>0.0</v>
      </c>
      <c r="AL10" s="17">
        <v>0.0</v>
      </c>
      <c r="AM10" s="15">
        <v>0.0</v>
      </c>
      <c r="AN10" s="15">
        <v>0.0</v>
      </c>
      <c r="AO10" s="16">
        <v>0.0</v>
      </c>
      <c r="AQ10" s="17">
        <v>0.0</v>
      </c>
      <c r="AR10" s="15">
        <v>0.0</v>
      </c>
      <c r="AS10" s="15">
        <v>0.0</v>
      </c>
      <c r="AT10" s="16">
        <v>0.0</v>
      </c>
      <c r="AV10" s="17">
        <v>0.0</v>
      </c>
      <c r="AW10" s="15">
        <v>0.0</v>
      </c>
      <c r="AX10" s="15">
        <v>0.0</v>
      </c>
      <c r="AY10" s="16">
        <v>0.0</v>
      </c>
      <c r="BA10" s="17">
        <v>0.0</v>
      </c>
      <c r="BB10" s="15">
        <v>0.0</v>
      </c>
      <c r="BC10" s="15">
        <v>0.0</v>
      </c>
      <c r="BD10" s="16">
        <v>0.0</v>
      </c>
      <c r="BF10" s="17">
        <v>0.0</v>
      </c>
      <c r="BG10" s="15">
        <v>0.0</v>
      </c>
      <c r="BH10" s="15">
        <v>0.0</v>
      </c>
      <c r="BI10" s="16">
        <v>0.0</v>
      </c>
      <c r="BK10" s="17">
        <v>0.0</v>
      </c>
      <c r="BL10" s="15">
        <v>0.0</v>
      </c>
      <c r="BM10" s="15">
        <v>0.0</v>
      </c>
      <c r="BN10" s="16">
        <v>0.0</v>
      </c>
      <c r="BP10" s="17">
        <v>0.0</v>
      </c>
      <c r="BQ10" s="15">
        <v>0.0</v>
      </c>
      <c r="BR10" s="15">
        <v>0.0</v>
      </c>
      <c r="BS10" s="16">
        <v>0.0</v>
      </c>
      <c r="BU10" s="17">
        <v>0.0</v>
      </c>
      <c r="BV10" s="15">
        <v>0.0</v>
      </c>
      <c r="BW10" s="15">
        <v>0.0</v>
      </c>
      <c r="BX10" s="16">
        <v>0.0</v>
      </c>
      <c r="BZ10" s="17">
        <v>0.0</v>
      </c>
      <c r="CA10" s="15">
        <v>0.0</v>
      </c>
      <c r="CB10" s="15">
        <v>0.0</v>
      </c>
      <c r="CC10" s="16">
        <v>0.0</v>
      </c>
      <c r="CE10" s="17">
        <v>0.0</v>
      </c>
      <c r="CF10" s="15">
        <v>0.0</v>
      </c>
      <c r="CG10" s="15">
        <v>0.0</v>
      </c>
      <c r="CH10" s="16">
        <v>0.0</v>
      </c>
      <c r="CJ10" s="17">
        <v>0.0</v>
      </c>
      <c r="CK10" s="15">
        <v>0.0</v>
      </c>
      <c r="CL10" s="15">
        <v>0.0</v>
      </c>
      <c r="CM10" s="16">
        <v>0.0</v>
      </c>
      <c r="CO10" s="17">
        <v>0.0</v>
      </c>
      <c r="CP10" s="15">
        <v>0.0</v>
      </c>
      <c r="CQ10" s="15">
        <v>0.0</v>
      </c>
      <c r="CR10" s="16">
        <v>0.0</v>
      </c>
      <c r="CT10" s="17">
        <v>0.0</v>
      </c>
      <c r="CU10" s="15">
        <v>0.0</v>
      </c>
      <c r="CV10" s="15">
        <v>0.0</v>
      </c>
      <c r="CW10" s="16">
        <v>0.0</v>
      </c>
      <c r="CY10" s="17">
        <v>0.0</v>
      </c>
      <c r="CZ10" s="15">
        <v>0.0</v>
      </c>
      <c r="DA10" s="15">
        <v>0.0</v>
      </c>
      <c r="DB10" s="16">
        <v>0.0</v>
      </c>
      <c r="DD10" s="17">
        <v>0.0</v>
      </c>
      <c r="DE10" s="15">
        <v>0.0</v>
      </c>
      <c r="DF10" s="15">
        <v>0.0</v>
      </c>
      <c r="DG10" s="16">
        <v>0.0</v>
      </c>
      <c r="DI10" s="17">
        <v>0.0</v>
      </c>
      <c r="DJ10" s="15">
        <v>0.0</v>
      </c>
      <c r="DK10" s="15">
        <v>0.0</v>
      </c>
      <c r="DL10" s="16">
        <v>0.0</v>
      </c>
      <c r="DN10" s="17">
        <v>0.0</v>
      </c>
      <c r="DO10" s="15">
        <v>0.0</v>
      </c>
      <c r="DP10" s="15">
        <v>0.0</v>
      </c>
      <c r="DQ10" s="16">
        <v>0.0</v>
      </c>
      <c r="DS10" s="17">
        <v>0.0</v>
      </c>
      <c r="DT10" s="15">
        <v>0.0</v>
      </c>
      <c r="DU10" s="15">
        <v>0.0</v>
      </c>
      <c r="DV10" s="16">
        <v>0.0</v>
      </c>
      <c r="DX10" s="17">
        <v>0.0</v>
      </c>
      <c r="DY10" s="15">
        <v>0.0</v>
      </c>
      <c r="DZ10" s="15">
        <v>0.0</v>
      </c>
      <c r="EA10" s="16">
        <v>0.0</v>
      </c>
      <c r="EC10" s="17">
        <v>0.0</v>
      </c>
      <c r="ED10" s="15">
        <v>0.0</v>
      </c>
      <c r="EE10" s="15">
        <v>0.0</v>
      </c>
      <c r="EF10" s="16">
        <v>0.0</v>
      </c>
      <c r="EH10" s="17">
        <v>0.0</v>
      </c>
      <c r="EI10" s="15">
        <v>0.0</v>
      </c>
      <c r="EJ10" s="15">
        <v>0.0</v>
      </c>
      <c r="EK10" s="16">
        <v>0.0</v>
      </c>
      <c r="EM10" s="17">
        <v>0.0</v>
      </c>
      <c r="EN10" s="15">
        <v>0.0</v>
      </c>
      <c r="EO10" s="15">
        <v>0.0</v>
      </c>
      <c r="EP10" s="16">
        <v>0.0</v>
      </c>
      <c r="ER10" s="17">
        <v>0.0</v>
      </c>
      <c r="ES10" s="15">
        <v>0.0</v>
      </c>
      <c r="ET10" s="15">
        <v>0.0</v>
      </c>
      <c r="EU10" s="16">
        <v>0.0</v>
      </c>
      <c r="EW10" s="17">
        <v>0.0</v>
      </c>
      <c r="EX10" s="15">
        <v>0.0</v>
      </c>
      <c r="EY10" s="15">
        <v>0.0</v>
      </c>
      <c r="EZ10" s="16">
        <v>0.0</v>
      </c>
      <c r="FB10" s="17">
        <v>0.0</v>
      </c>
      <c r="FC10" s="15">
        <v>0.0</v>
      </c>
      <c r="FD10" s="15">
        <v>0.0</v>
      </c>
      <c r="FE10" s="16">
        <v>0.0</v>
      </c>
      <c r="FG10" s="17">
        <v>0.0</v>
      </c>
      <c r="FH10" s="15">
        <v>0.0</v>
      </c>
      <c r="FI10" s="15">
        <v>0.0</v>
      </c>
      <c r="FJ10" s="16">
        <v>0.0</v>
      </c>
      <c r="FL10" s="17">
        <v>0.0</v>
      </c>
      <c r="FM10" s="15">
        <v>0.0</v>
      </c>
      <c r="FN10" s="15">
        <v>0.0</v>
      </c>
      <c r="FO10" s="16">
        <v>0.0</v>
      </c>
      <c r="FQ10" s="17">
        <v>0.0</v>
      </c>
      <c r="FR10" s="15">
        <v>0.0</v>
      </c>
      <c r="FS10" s="15">
        <v>0.0</v>
      </c>
      <c r="FT10" s="16">
        <v>0.0</v>
      </c>
      <c r="FV10" s="17">
        <v>0.0</v>
      </c>
      <c r="FW10" s="15">
        <v>0.0</v>
      </c>
      <c r="FX10" s="15">
        <v>0.0</v>
      </c>
      <c r="FY10" s="16">
        <v>0.0</v>
      </c>
      <c r="GA10" s="17">
        <v>0.0</v>
      </c>
      <c r="GB10" s="15">
        <v>0.0</v>
      </c>
      <c r="GC10" s="15">
        <v>0.0</v>
      </c>
      <c r="GD10" s="16">
        <v>0.0</v>
      </c>
      <c r="GF10" s="17">
        <v>0.0</v>
      </c>
      <c r="GG10" s="15">
        <v>0.0</v>
      </c>
      <c r="GH10" s="15">
        <v>0.0</v>
      </c>
      <c r="GI10" s="16">
        <v>0.0</v>
      </c>
      <c r="GK10" s="17">
        <v>0.0</v>
      </c>
      <c r="GL10" s="15">
        <v>0.0</v>
      </c>
      <c r="GM10" s="15">
        <v>0.0</v>
      </c>
      <c r="GN10" s="16">
        <v>0.0</v>
      </c>
      <c r="GP10" s="17">
        <v>0.0</v>
      </c>
      <c r="GQ10" s="15">
        <v>0.0</v>
      </c>
      <c r="GR10" s="15">
        <v>0.0</v>
      </c>
      <c r="GS10" s="16">
        <v>0.0</v>
      </c>
      <c r="GU10" s="17">
        <v>0.0</v>
      </c>
      <c r="GV10" s="15">
        <v>0.0</v>
      </c>
      <c r="GW10" s="15">
        <v>0.0</v>
      </c>
      <c r="GX10" s="16">
        <v>0.0</v>
      </c>
      <c r="GZ10" s="17">
        <v>0.0</v>
      </c>
      <c r="HA10" s="15">
        <v>0.0</v>
      </c>
      <c r="HB10" s="15">
        <v>0.0</v>
      </c>
      <c r="HC10" s="16">
        <v>0.0</v>
      </c>
      <c r="HE10" s="17">
        <v>0.0</v>
      </c>
      <c r="HF10" s="15">
        <v>0.0</v>
      </c>
      <c r="HG10" s="15">
        <v>0.0</v>
      </c>
      <c r="HH10" s="16">
        <v>0.0</v>
      </c>
      <c r="HJ10" s="17">
        <v>0.0</v>
      </c>
      <c r="HK10" s="15">
        <v>0.0</v>
      </c>
      <c r="HL10" s="15">
        <v>0.0</v>
      </c>
      <c r="HM10" s="16">
        <v>0.0</v>
      </c>
      <c r="HO10" s="17">
        <v>0.0</v>
      </c>
      <c r="HP10" s="15">
        <v>0.0</v>
      </c>
      <c r="HQ10" s="15">
        <v>0.0</v>
      </c>
      <c r="HR10" s="16">
        <v>0.0</v>
      </c>
      <c r="HT10" s="17">
        <v>0.0</v>
      </c>
      <c r="HU10" s="15">
        <v>0.0</v>
      </c>
      <c r="HV10" s="15">
        <v>0.0</v>
      </c>
      <c r="HW10" s="16">
        <v>0.0</v>
      </c>
      <c r="HY10" s="17">
        <v>0.0</v>
      </c>
      <c r="HZ10" s="15">
        <v>0.0</v>
      </c>
      <c r="IA10" s="15">
        <v>0.0</v>
      </c>
      <c r="IB10" s="16">
        <v>0.0</v>
      </c>
      <c r="ID10" s="17">
        <v>0.0</v>
      </c>
      <c r="IE10" s="15">
        <v>0.0</v>
      </c>
      <c r="IF10" s="15">
        <v>0.0</v>
      </c>
      <c r="IG10" s="16">
        <v>0.0</v>
      </c>
      <c r="II10" s="17">
        <v>0.0</v>
      </c>
      <c r="IJ10" s="15">
        <v>0.0</v>
      </c>
      <c r="IK10" s="15">
        <v>0.0</v>
      </c>
      <c r="IL10" s="16">
        <v>0.0</v>
      </c>
      <c r="IN10" s="17">
        <v>0.0</v>
      </c>
      <c r="IO10" s="15">
        <v>0.0</v>
      </c>
      <c r="IP10" s="15">
        <v>0.0</v>
      </c>
      <c r="IQ10" s="16">
        <v>0.0</v>
      </c>
      <c r="IS10" s="17">
        <v>0.0</v>
      </c>
      <c r="IT10" s="15">
        <v>0.0</v>
      </c>
      <c r="IU10" s="15">
        <v>0.0</v>
      </c>
      <c r="IV10" s="16">
        <v>0.0</v>
      </c>
      <c r="IX10" s="17">
        <v>0.0</v>
      </c>
      <c r="IY10" s="15">
        <v>0.0</v>
      </c>
      <c r="IZ10" s="15">
        <v>0.0</v>
      </c>
      <c r="JA10" s="16">
        <v>0.0</v>
      </c>
      <c r="JC10" s="17">
        <v>0.0</v>
      </c>
      <c r="JD10" s="15">
        <v>0.0</v>
      </c>
      <c r="JE10" s="15">
        <v>0.0</v>
      </c>
      <c r="JF10" s="16">
        <v>0.0</v>
      </c>
      <c r="JH10" s="17">
        <v>0.0</v>
      </c>
      <c r="JI10" s="15">
        <v>0.0</v>
      </c>
      <c r="JJ10" s="15">
        <v>0.0</v>
      </c>
      <c r="JK10" s="16">
        <v>0.0</v>
      </c>
      <c r="JM10" s="17">
        <v>0.0</v>
      </c>
      <c r="JN10" s="15">
        <v>0.0</v>
      </c>
      <c r="JO10" s="15">
        <v>0.0</v>
      </c>
      <c r="JP10" s="16">
        <v>0.0</v>
      </c>
      <c r="JR10" s="17">
        <v>0.0</v>
      </c>
      <c r="JS10" s="15">
        <v>0.0</v>
      </c>
      <c r="JT10" s="15">
        <v>0.0</v>
      </c>
      <c r="JU10" s="16">
        <v>0.0</v>
      </c>
      <c r="JW10" s="17">
        <v>0.0</v>
      </c>
      <c r="JX10" s="15">
        <v>0.0</v>
      </c>
      <c r="JY10" s="15">
        <v>0.0</v>
      </c>
      <c r="JZ10" s="16">
        <v>0.0</v>
      </c>
      <c r="KB10" s="17">
        <v>0.0</v>
      </c>
      <c r="KC10" s="15">
        <v>0.0</v>
      </c>
      <c r="KD10" s="15">
        <v>0.0</v>
      </c>
      <c r="KE10" s="16">
        <v>0.0</v>
      </c>
      <c r="KG10" s="17">
        <v>0.0</v>
      </c>
      <c r="KH10" s="15">
        <v>0.0</v>
      </c>
      <c r="KI10" s="15">
        <v>0.0</v>
      </c>
      <c r="KJ10" s="16">
        <v>0.0</v>
      </c>
      <c r="KL10" s="17">
        <v>0.0</v>
      </c>
      <c r="KM10" s="15">
        <v>0.0</v>
      </c>
      <c r="KN10" s="15">
        <v>0.0</v>
      </c>
      <c r="KO10" s="16">
        <v>0.0</v>
      </c>
      <c r="KQ10" s="17">
        <v>0.0</v>
      </c>
      <c r="KR10" s="15">
        <v>0.0</v>
      </c>
      <c r="KS10" s="15">
        <v>0.0</v>
      </c>
      <c r="KT10" s="16">
        <v>0.0</v>
      </c>
      <c r="KV10" s="17">
        <v>0.0</v>
      </c>
      <c r="KW10" s="15">
        <v>0.0</v>
      </c>
      <c r="KX10" s="15">
        <v>0.0</v>
      </c>
      <c r="KY10" s="16">
        <v>0.0</v>
      </c>
      <c r="LA10" s="17">
        <v>0.0</v>
      </c>
      <c r="LB10" s="15">
        <v>0.0</v>
      </c>
      <c r="LC10" s="15">
        <v>0.0</v>
      </c>
      <c r="LD10" s="16">
        <v>0.0</v>
      </c>
      <c r="LF10" s="17">
        <v>0.0</v>
      </c>
      <c r="LG10" s="15">
        <v>0.0</v>
      </c>
      <c r="LH10" s="15">
        <v>0.0</v>
      </c>
      <c r="LI10" s="16">
        <v>0.0</v>
      </c>
      <c r="LK10" s="17">
        <v>0.0</v>
      </c>
      <c r="LL10" s="15">
        <v>0.0</v>
      </c>
      <c r="LM10" s="15">
        <v>0.0</v>
      </c>
      <c r="LN10" s="16">
        <v>0.0</v>
      </c>
      <c r="LP10" s="17">
        <v>0.0</v>
      </c>
      <c r="LQ10" s="15">
        <v>0.0</v>
      </c>
      <c r="LR10" s="15">
        <v>0.0</v>
      </c>
      <c r="LS10" s="16">
        <v>0.0</v>
      </c>
      <c r="LU10" s="17">
        <v>0.0</v>
      </c>
      <c r="LV10" s="15">
        <v>0.0</v>
      </c>
      <c r="LW10" s="15">
        <v>0.0</v>
      </c>
      <c r="LX10" s="16">
        <v>0.0</v>
      </c>
      <c r="LZ10" s="17">
        <v>0.0</v>
      </c>
      <c r="MA10" s="15">
        <v>0.0</v>
      </c>
      <c r="MB10" s="15">
        <v>0.0</v>
      </c>
      <c r="MC10" s="16">
        <v>0.0</v>
      </c>
      <c r="ME10" s="17">
        <v>0.0</v>
      </c>
      <c r="MF10" s="15">
        <v>0.0</v>
      </c>
      <c r="MG10" s="15">
        <v>0.0</v>
      </c>
      <c r="MH10" s="16">
        <v>0.0</v>
      </c>
      <c r="MJ10" s="17">
        <v>0.0</v>
      </c>
      <c r="MK10" s="15">
        <v>0.0</v>
      </c>
      <c r="ML10" s="15">
        <v>0.0</v>
      </c>
      <c r="MM10" s="16">
        <v>0.0</v>
      </c>
      <c r="MO10" s="17">
        <v>0.0</v>
      </c>
      <c r="MP10" s="15">
        <v>0.0</v>
      </c>
      <c r="MQ10" s="15">
        <v>0.0</v>
      </c>
      <c r="MR10" s="16">
        <v>0.0</v>
      </c>
      <c r="MT10" s="17">
        <v>0.0</v>
      </c>
      <c r="MU10" s="15">
        <v>0.0</v>
      </c>
      <c r="MV10" s="15">
        <v>0.0</v>
      </c>
      <c r="MW10" s="16">
        <v>0.0</v>
      </c>
      <c r="MY10" s="17">
        <v>0.0</v>
      </c>
      <c r="MZ10" s="15">
        <v>0.0</v>
      </c>
      <c r="NA10" s="15">
        <v>0.0</v>
      </c>
      <c r="NB10" s="16">
        <v>0.0</v>
      </c>
      <c r="ND10" s="17">
        <v>0.0</v>
      </c>
      <c r="NE10" s="15">
        <v>0.0</v>
      </c>
      <c r="NF10" s="15">
        <v>0.0</v>
      </c>
      <c r="NG10" s="16">
        <v>0.0</v>
      </c>
      <c r="NI10" s="17">
        <v>0.0</v>
      </c>
      <c r="NJ10" s="15">
        <v>0.0</v>
      </c>
      <c r="NK10" s="15">
        <v>0.0</v>
      </c>
      <c r="NL10" s="16">
        <v>0.0</v>
      </c>
      <c r="NN10" s="17">
        <v>0.0</v>
      </c>
      <c r="NO10" s="15">
        <v>0.0</v>
      </c>
      <c r="NP10" s="15">
        <v>0.0</v>
      </c>
      <c r="NQ10" s="16">
        <v>0.0</v>
      </c>
      <c r="NS10" s="17">
        <v>0.0</v>
      </c>
      <c r="NT10" s="15">
        <v>0.0</v>
      </c>
      <c r="NU10" s="15">
        <v>0.0</v>
      </c>
      <c r="NV10" s="16">
        <v>0.0</v>
      </c>
      <c r="NX10" s="17">
        <v>0.0</v>
      </c>
      <c r="NY10" s="15">
        <v>0.0</v>
      </c>
      <c r="NZ10" s="15">
        <v>0.0</v>
      </c>
      <c r="OA10" s="16">
        <v>0.0</v>
      </c>
      <c r="OC10" s="17">
        <v>0.0</v>
      </c>
      <c r="OD10" s="15">
        <v>0.0</v>
      </c>
      <c r="OE10" s="15">
        <v>0.0</v>
      </c>
      <c r="OF10" s="16">
        <v>0.0</v>
      </c>
      <c r="OH10" s="17">
        <v>0.0</v>
      </c>
      <c r="OI10" s="15">
        <v>0.0</v>
      </c>
      <c r="OJ10" s="15">
        <v>0.0</v>
      </c>
      <c r="OK10" s="16">
        <v>0.0</v>
      </c>
      <c r="OM10" s="17">
        <v>0.0</v>
      </c>
      <c r="ON10" s="15">
        <v>0.0</v>
      </c>
      <c r="OO10" s="15">
        <v>0.0</v>
      </c>
      <c r="OP10" s="16">
        <v>0.0</v>
      </c>
      <c r="OR10" s="17">
        <v>0.0</v>
      </c>
      <c r="OS10" s="15">
        <v>0.0</v>
      </c>
      <c r="OT10" s="15">
        <v>0.0</v>
      </c>
      <c r="OU10" s="16">
        <v>0.0</v>
      </c>
      <c r="OW10" s="17">
        <v>0.0</v>
      </c>
      <c r="OX10" s="15">
        <v>0.0</v>
      </c>
      <c r="OY10" s="15">
        <v>0.0</v>
      </c>
      <c r="OZ10" s="16">
        <v>0.0</v>
      </c>
      <c r="PB10" s="17">
        <v>0.0</v>
      </c>
      <c r="PC10" s="15">
        <v>0.0</v>
      </c>
      <c r="PD10" s="15">
        <v>0.0</v>
      </c>
      <c r="PE10" s="16">
        <v>0.0</v>
      </c>
      <c r="PG10" s="17">
        <v>0.0</v>
      </c>
      <c r="PH10" s="15">
        <v>0.0</v>
      </c>
      <c r="PI10" s="15">
        <v>0.0</v>
      </c>
      <c r="PJ10" s="16">
        <v>0.0</v>
      </c>
      <c r="PL10" s="17">
        <v>0.0</v>
      </c>
      <c r="PM10" s="15">
        <v>0.0</v>
      </c>
      <c r="PN10" s="15">
        <v>0.0</v>
      </c>
      <c r="PO10" s="16">
        <v>0.0</v>
      </c>
      <c r="PQ10" s="17">
        <v>0.0</v>
      </c>
      <c r="PR10" s="15">
        <v>0.0</v>
      </c>
      <c r="PS10" s="15">
        <v>0.0</v>
      </c>
      <c r="PT10" s="16">
        <v>0.0</v>
      </c>
      <c r="PV10" s="17">
        <v>0.0</v>
      </c>
      <c r="PW10" s="15">
        <v>0.0</v>
      </c>
      <c r="PX10" s="15">
        <v>0.0</v>
      </c>
      <c r="PY10" s="16">
        <v>0.0</v>
      </c>
      <c r="QA10" s="17">
        <v>0.0</v>
      </c>
      <c r="QB10" s="15">
        <v>0.0</v>
      </c>
      <c r="QC10" s="15">
        <v>0.0</v>
      </c>
      <c r="QD10" s="16">
        <v>0.0</v>
      </c>
      <c r="QF10" s="17">
        <v>0.0</v>
      </c>
      <c r="QG10" s="15">
        <v>0.0</v>
      </c>
      <c r="QH10" s="15">
        <v>0.0</v>
      </c>
      <c r="QI10" s="16">
        <v>0.0</v>
      </c>
      <c r="QK10" s="17">
        <v>0.0</v>
      </c>
      <c r="QL10" s="15">
        <v>0.0</v>
      </c>
      <c r="QM10" s="15">
        <v>0.0</v>
      </c>
      <c r="QN10" s="16">
        <v>0.0</v>
      </c>
      <c r="QP10" s="17">
        <v>0.0</v>
      </c>
      <c r="QQ10" s="15">
        <v>0.0</v>
      </c>
      <c r="QR10" s="15">
        <v>0.0</v>
      </c>
      <c r="QS10" s="16">
        <v>0.0</v>
      </c>
      <c r="QU10" s="17">
        <v>0.0</v>
      </c>
      <c r="QV10" s="15">
        <v>0.0</v>
      </c>
      <c r="QW10" s="15">
        <v>0.0</v>
      </c>
      <c r="QX10" s="16">
        <v>0.0</v>
      </c>
      <c r="QZ10" s="17">
        <v>0.0</v>
      </c>
      <c r="RA10" s="15">
        <v>0.0</v>
      </c>
      <c r="RB10" s="15">
        <v>0.0</v>
      </c>
      <c r="RC10" s="16">
        <v>0.0</v>
      </c>
      <c r="RE10" s="17">
        <v>0.0</v>
      </c>
      <c r="RF10" s="15">
        <v>0.0</v>
      </c>
      <c r="RG10" s="15">
        <v>0.0</v>
      </c>
      <c r="RH10" s="16">
        <v>0.0</v>
      </c>
      <c r="RJ10" s="17">
        <v>0.0</v>
      </c>
      <c r="RK10" s="15">
        <v>0.0</v>
      </c>
      <c r="RL10" s="15">
        <v>0.0</v>
      </c>
      <c r="RM10" s="16">
        <v>0.0</v>
      </c>
      <c r="RO10" s="17">
        <v>0.0</v>
      </c>
      <c r="RP10" s="15">
        <v>0.0</v>
      </c>
      <c r="RQ10" s="15">
        <v>0.0</v>
      </c>
      <c r="RR10" s="16">
        <v>0.0</v>
      </c>
      <c r="RT10" s="17">
        <v>0.0</v>
      </c>
      <c r="RU10" s="15">
        <v>0.0</v>
      </c>
      <c r="RV10" s="15">
        <v>0.0</v>
      </c>
      <c r="RW10" s="16">
        <v>0.0</v>
      </c>
      <c r="RY10" s="17">
        <v>0.0</v>
      </c>
      <c r="RZ10" s="15">
        <v>0.0</v>
      </c>
      <c r="SA10" s="15">
        <v>0.0</v>
      </c>
      <c r="SB10" s="16">
        <v>0.0</v>
      </c>
      <c r="SD10" s="17">
        <v>0.0</v>
      </c>
      <c r="SE10" s="15">
        <v>0.0</v>
      </c>
      <c r="SF10" s="15">
        <v>0.0</v>
      </c>
      <c r="SG10" s="16">
        <v>0.0</v>
      </c>
      <c r="SI10" s="17">
        <v>0.0</v>
      </c>
      <c r="SJ10" s="15">
        <v>0.0</v>
      </c>
      <c r="SK10" s="15">
        <v>0.0</v>
      </c>
      <c r="SL10" s="16">
        <v>0.0</v>
      </c>
      <c r="SN10" s="17">
        <v>0.0</v>
      </c>
      <c r="SO10" s="15">
        <v>0.0</v>
      </c>
      <c r="SP10" s="15">
        <v>0.0</v>
      </c>
      <c r="SQ10" s="16">
        <v>0.0</v>
      </c>
      <c r="SS10" s="17">
        <v>0.0</v>
      </c>
      <c r="ST10" s="15">
        <v>0.0</v>
      </c>
      <c r="SU10" s="15">
        <v>0.0</v>
      </c>
      <c r="SV10" s="16">
        <v>0.0</v>
      </c>
      <c r="SX10" s="17">
        <v>0.0</v>
      </c>
      <c r="SY10" s="15">
        <v>0.0</v>
      </c>
      <c r="SZ10" s="15">
        <v>0.0</v>
      </c>
      <c r="TA10" s="16">
        <v>0.0</v>
      </c>
      <c r="TC10" s="17">
        <v>0.0</v>
      </c>
      <c r="TD10" s="15">
        <v>0.0</v>
      </c>
      <c r="TE10" s="15">
        <v>0.0</v>
      </c>
      <c r="TF10" s="16">
        <v>0.0</v>
      </c>
      <c r="TH10" s="17">
        <v>0.0</v>
      </c>
      <c r="TI10" s="15">
        <v>0.0</v>
      </c>
      <c r="TJ10" s="15">
        <v>0.0</v>
      </c>
      <c r="TK10" s="16">
        <v>0.0</v>
      </c>
      <c r="TM10" s="17">
        <v>0.0</v>
      </c>
      <c r="TN10" s="15">
        <v>0.0</v>
      </c>
      <c r="TO10" s="15">
        <v>0.0</v>
      </c>
      <c r="TP10" s="16">
        <v>0.0</v>
      </c>
      <c r="TR10" s="17">
        <v>0.0</v>
      </c>
      <c r="TS10" s="15">
        <v>0.0</v>
      </c>
      <c r="TT10" s="15">
        <v>0.0</v>
      </c>
      <c r="TU10" s="16">
        <v>0.0</v>
      </c>
      <c r="TW10" s="17">
        <v>0.0</v>
      </c>
      <c r="TX10" s="15">
        <v>0.0</v>
      </c>
      <c r="TY10" s="15">
        <v>0.0</v>
      </c>
      <c r="TZ10" s="16">
        <v>0.0</v>
      </c>
      <c r="UB10" s="17">
        <v>0.0</v>
      </c>
      <c r="UC10" s="15">
        <v>0.0</v>
      </c>
      <c r="UD10" s="15">
        <v>0.0</v>
      </c>
      <c r="UE10" s="16">
        <v>0.0</v>
      </c>
      <c r="UG10" s="17">
        <v>0.0</v>
      </c>
      <c r="UH10" s="15">
        <v>0.0</v>
      </c>
      <c r="UI10" s="15">
        <v>0.0</v>
      </c>
      <c r="UJ10" s="16">
        <v>0.0</v>
      </c>
      <c r="UL10" s="17">
        <v>0.0</v>
      </c>
      <c r="UM10" s="15">
        <v>0.0</v>
      </c>
      <c r="UN10" s="15">
        <v>0.0</v>
      </c>
      <c r="UO10" s="16">
        <v>0.0</v>
      </c>
      <c r="UQ10" s="17">
        <v>0.0</v>
      </c>
      <c r="UR10" s="15">
        <v>0.0</v>
      </c>
      <c r="US10" s="15">
        <v>0.0</v>
      </c>
      <c r="UT10" s="16">
        <v>0.0</v>
      </c>
      <c r="UV10" s="17">
        <v>0.0</v>
      </c>
      <c r="UW10" s="15">
        <v>0.0</v>
      </c>
      <c r="UX10" s="15">
        <v>0.0</v>
      </c>
      <c r="UY10" s="16">
        <v>0.0</v>
      </c>
      <c r="VA10" s="17">
        <v>0.0</v>
      </c>
      <c r="VB10" s="15">
        <v>0.0</v>
      </c>
      <c r="VC10" s="15">
        <v>0.0</v>
      </c>
      <c r="VD10" s="16">
        <v>0.0</v>
      </c>
      <c r="VF10" s="17">
        <v>0.0</v>
      </c>
      <c r="VG10" s="15">
        <v>0.0</v>
      </c>
      <c r="VH10" s="15">
        <v>0.0</v>
      </c>
      <c r="VI10" s="16">
        <v>0.0</v>
      </c>
      <c r="VK10" s="17">
        <v>0.0</v>
      </c>
      <c r="VL10" s="15">
        <v>0.0</v>
      </c>
      <c r="VM10" s="15">
        <v>0.0</v>
      </c>
      <c r="VN10" s="16">
        <v>0.0</v>
      </c>
      <c r="VP10" s="17">
        <v>0.0</v>
      </c>
      <c r="VQ10" s="15">
        <v>0.0</v>
      </c>
      <c r="VR10" s="15">
        <v>0.0</v>
      </c>
      <c r="VS10" s="16">
        <v>0.0</v>
      </c>
      <c r="VU10" s="17">
        <v>0.0</v>
      </c>
      <c r="VV10" s="15">
        <v>0.0</v>
      </c>
      <c r="VW10" s="15">
        <v>0.0</v>
      </c>
      <c r="VX10" s="16">
        <v>0.0</v>
      </c>
      <c r="VZ10" s="17">
        <v>0.0</v>
      </c>
      <c r="WA10" s="15">
        <v>0.0</v>
      </c>
      <c r="WB10" s="15">
        <v>0.0</v>
      </c>
      <c r="WC10" s="16">
        <v>0.0</v>
      </c>
      <c r="WE10" s="17">
        <v>0.0</v>
      </c>
      <c r="WF10" s="15">
        <v>0.0</v>
      </c>
      <c r="WG10" s="15">
        <v>0.0</v>
      </c>
      <c r="WH10" s="16">
        <v>0.0</v>
      </c>
      <c r="WJ10" s="17">
        <v>0.0</v>
      </c>
      <c r="WK10" s="15">
        <v>0.0</v>
      </c>
      <c r="WL10" s="15">
        <v>0.0</v>
      </c>
      <c r="WM10" s="16">
        <v>0.0</v>
      </c>
      <c r="WO10" s="17">
        <v>0.0</v>
      </c>
      <c r="WP10" s="15">
        <v>0.0</v>
      </c>
      <c r="WQ10" s="15">
        <v>0.0</v>
      </c>
      <c r="WR10" s="16">
        <v>0.0</v>
      </c>
      <c r="WT10" s="17">
        <v>0.0</v>
      </c>
      <c r="WU10" s="15">
        <v>0.0</v>
      </c>
      <c r="WV10" s="15">
        <v>0.0</v>
      </c>
      <c r="WW10" s="16">
        <v>0.0</v>
      </c>
      <c r="WY10" s="17">
        <v>0.0</v>
      </c>
      <c r="WZ10" s="15">
        <v>0.0</v>
      </c>
      <c r="XA10" s="15">
        <v>0.0</v>
      </c>
      <c r="XB10" s="16">
        <v>0.0</v>
      </c>
      <c r="XD10" s="17">
        <v>0.0</v>
      </c>
      <c r="XE10" s="15">
        <v>0.0</v>
      </c>
      <c r="XF10" s="15">
        <v>0.0</v>
      </c>
      <c r="XG10" s="16">
        <v>0.0</v>
      </c>
      <c r="XI10" s="17">
        <v>0.0</v>
      </c>
      <c r="XJ10" s="15">
        <v>0.0</v>
      </c>
      <c r="XK10" s="15">
        <v>0.0</v>
      </c>
      <c r="XL10" s="16">
        <v>0.0</v>
      </c>
      <c r="XN10" s="17">
        <v>0.0</v>
      </c>
      <c r="XO10" s="15">
        <v>0.0</v>
      </c>
      <c r="XP10" s="15">
        <v>0.0</v>
      </c>
      <c r="XQ10" s="16">
        <v>0.0</v>
      </c>
      <c r="XS10" s="17">
        <v>0.0</v>
      </c>
      <c r="XT10" s="15">
        <v>0.0</v>
      </c>
      <c r="XU10" s="15">
        <v>0.0</v>
      </c>
      <c r="XV10" s="16">
        <v>0.0</v>
      </c>
      <c r="XX10" s="17">
        <v>0.0</v>
      </c>
      <c r="XY10" s="15">
        <v>0.0</v>
      </c>
      <c r="XZ10" s="15">
        <v>0.0</v>
      </c>
      <c r="YA10" s="16">
        <v>0.0</v>
      </c>
      <c r="YC10" s="17">
        <v>0.0</v>
      </c>
      <c r="YD10" s="15">
        <v>0.0</v>
      </c>
      <c r="YE10" s="15">
        <v>0.0</v>
      </c>
      <c r="YF10" s="16">
        <v>0.0</v>
      </c>
      <c r="YH10" s="17">
        <v>0.0</v>
      </c>
      <c r="YI10" s="15">
        <v>0.0</v>
      </c>
      <c r="YJ10" s="15">
        <v>0.0</v>
      </c>
      <c r="YK10" s="16">
        <v>0.0</v>
      </c>
      <c r="YM10" s="17">
        <v>0.0</v>
      </c>
      <c r="YN10" s="15">
        <v>0.0</v>
      </c>
      <c r="YO10" s="15">
        <v>0.0</v>
      </c>
      <c r="YP10" s="16">
        <v>0.0</v>
      </c>
      <c r="YR10" s="17">
        <v>0.0</v>
      </c>
      <c r="YS10" s="15">
        <v>0.0</v>
      </c>
      <c r="YT10" s="15">
        <v>0.0</v>
      </c>
      <c r="YU10" s="16">
        <v>0.0</v>
      </c>
      <c r="YW10" s="17">
        <v>0.0</v>
      </c>
      <c r="YX10" s="15">
        <v>0.0</v>
      </c>
      <c r="YY10" s="15">
        <v>0.0</v>
      </c>
      <c r="YZ10" s="16">
        <v>0.0</v>
      </c>
      <c r="ZB10" s="17">
        <v>0.0</v>
      </c>
      <c r="ZC10" s="15">
        <v>0.0</v>
      </c>
      <c r="ZD10" s="15">
        <v>0.0</v>
      </c>
      <c r="ZE10" s="16">
        <v>0.0</v>
      </c>
      <c r="ZG10" s="17">
        <v>0.0</v>
      </c>
      <c r="ZH10" s="15">
        <v>0.0</v>
      </c>
      <c r="ZI10" s="15">
        <v>0.0</v>
      </c>
      <c r="ZJ10" s="16">
        <v>0.0</v>
      </c>
      <c r="ZL10" s="17">
        <v>0.0</v>
      </c>
      <c r="ZM10" s="15">
        <v>0.0</v>
      </c>
      <c r="ZN10" s="15">
        <v>0.0</v>
      </c>
      <c r="ZO10" s="16">
        <v>0.0</v>
      </c>
      <c r="ZQ10" s="17">
        <v>0.0</v>
      </c>
      <c r="ZR10" s="15">
        <v>0.0</v>
      </c>
      <c r="ZS10" s="15">
        <v>0.0</v>
      </c>
      <c r="ZT10" s="16">
        <v>0.0</v>
      </c>
      <c r="ZV10" s="17">
        <v>0.0</v>
      </c>
      <c r="ZW10" s="15">
        <v>0.0</v>
      </c>
      <c r="ZX10" s="15">
        <v>0.0</v>
      </c>
      <c r="ZY10" s="16">
        <v>0.0</v>
      </c>
      <c r="AAA10" s="17">
        <v>0.0</v>
      </c>
      <c r="AAB10" s="15">
        <v>0.0</v>
      </c>
      <c r="AAC10" s="15">
        <v>0.0</v>
      </c>
      <c r="AAD10" s="16">
        <v>0.0</v>
      </c>
      <c r="AAF10" s="17">
        <v>0.0</v>
      </c>
      <c r="AAG10" s="15">
        <v>0.0</v>
      </c>
      <c r="AAH10" s="15">
        <v>0.0</v>
      </c>
      <c r="AAI10" s="16">
        <v>0.0</v>
      </c>
      <c r="AAK10" s="17">
        <v>0.0</v>
      </c>
      <c r="AAL10" s="15">
        <v>0.0</v>
      </c>
      <c r="AAM10" s="15">
        <v>0.0</v>
      </c>
      <c r="AAN10" s="16">
        <v>0.0</v>
      </c>
      <c r="AAP10" s="17">
        <v>0.0</v>
      </c>
      <c r="AAQ10" s="15">
        <v>0.0</v>
      </c>
      <c r="AAR10" s="15">
        <v>0.0</v>
      </c>
      <c r="AAS10" s="16">
        <v>0.0</v>
      </c>
      <c r="AAU10" s="17">
        <v>0.0</v>
      </c>
      <c r="AAV10" s="15">
        <v>0.0</v>
      </c>
      <c r="AAW10" s="15">
        <v>0.0</v>
      </c>
      <c r="AAX10" s="16">
        <v>0.0</v>
      </c>
      <c r="AAZ10" s="17">
        <v>0.0</v>
      </c>
      <c r="ABA10" s="15">
        <v>0.0</v>
      </c>
      <c r="ABB10" s="15">
        <v>0.0</v>
      </c>
      <c r="ABC10" s="16">
        <v>0.0</v>
      </c>
      <c r="ABE10" s="17">
        <v>0.0</v>
      </c>
      <c r="ABF10" s="15">
        <v>0.0</v>
      </c>
      <c r="ABG10" s="15">
        <v>0.0</v>
      </c>
      <c r="ABH10" s="16">
        <v>0.0</v>
      </c>
      <c r="ABJ10" s="17">
        <v>0.0</v>
      </c>
      <c r="ABK10" s="15">
        <v>0.0</v>
      </c>
      <c r="ABL10" s="15">
        <v>0.0</v>
      </c>
      <c r="ABM10" s="16">
        <v>0.0</v>
      </c>
      <c r="ABO10" s="17">
        <v>0.0</v>
      </c>
      <c r="ABP10" s="15">
        <v>0.0</v>
      </c>
      <c r="ABQ10" s="15">
        <v>0.0</v>
      </c>
      <c r="ABR10" s="16">
        <v>0.0</v>
      </c>
      <c r="ABT10" s="17">
        <v>0.0</v>
      </c>
      <c r="ABU10" s="15">
        <v>0.0</v>
      </c>
      <c r="ABV10" s="15">
        <v>0.0</v>
      </c>
      <c r="ABW10" s="16">
        <v>0.0</v>
      </c>
      <c r="ABY10" s="17">
        <v>0.0</v>
      </c>
      <c r="ABZ10" s="15">
        <v>0.0</v>
      </c>
      <c r="ACA10" s="15">
        <v>0.0</v>
      </c>
      <c r="ACB10" s="16">
        <v>0.0</v>
      </c>
      <c r="ACD10" s="17">
        <v>0.0</v>
      </c>
      <c r="ACE10" s="15">
        <v>0.0</v>
      </c>
      <c r="ACF10" s="15">
        <v>0.0</v>
      </c>
      <c r="ACG10" s="16">
        <v>0.0</v>
      </c>
      <c r="ACI10" s="17">
        <v>0.0</v>
      </c>
      <c r="ACJ10" s="15">
        <v>0.0</v>
      </c>
      <c r="ACK10" s="15">
        <v>0.0</v>
      </c>
      <c r="ACL10" s="16">
        <v>0.0</v>
      </c>
      <c r="ACN10" s="17">
        <v>0.0</v>
      </c>
      <c r="ACO10" s="15">
        <v>0.0</v>
      </c>
      <c r="ACP10" s="15">
        <v>0.0</v>
      </c>
      <c r="ACQ10" s="16">
        <v>0.0</v>
      </c>
      <c r="ACS10" s="17">
        <v>0.0</v>
      </c>
      <c r="ACT10" s="15">
        <v>0.0</v>
      </c>
      <c r="ACU10" s="15">
        <v>0.0</v>
      </c>
      <c r="ACV10" s="16">
        <v>0.0</v>
      </c>
      <c r="ACX10" s="17">
        <v>0.0</v>
      </c>
      <c r="ACY10" s="15">
        <v>0.0</v>
      </c>
      <c r="ACZ10" s="15">
        <v>0.0</v>
      </c>
      <c r="ADA10" s="16">
        <v>0.0</v>
      </c>
      <c r="ADC10" s="17">
        <v>0.0</v>
      </c>
      <c r="ADD10" s="15">
        <v>0.0</v>
      </c>
      <c r="ADE10" s="15">
        <v>0.0</v>
      </c>
      <c r="ADF10" s="16">
        <v>0.0</v>
      </c>
      <c r="ADH10" s="17">
        <v>0.0</v>
      </c>
      <c r="ADI10" s="15">
        <v>0.0</v>
      </c>
      <c r="ADJ10" s="15">
        <v>0.0</v>
      </c>
      <c r="ADK10" s="16">
        <v>0.0</v>
      </c>
      <c r="ADM10" s="17">
        <v>0.0</v>
      </c>
      <c r="ADN10" s="15">
        <v>0.0</v>
      </c>
      <c r="ADO10" s="15">
        <v>0.0</v>
      </c>
      <c r="ADP10" s="16">
        <v>0.0</v>
      </c>
      <c r="ADR10" s="17">
        <v>0.0</v>
      </c>
      <c r="ADS10" s="15">
        <v>0.0</v>
      </c>
      <c r="ADT10" s="15">
        <v>0.0</v>
      </c>
      <c r="ADU10" s="16">
        <v>0.0</v>
      </c>
      <c r="ADW10" s="17">
        <v>0.0</v>
      </c>
      <c r="ADX10" s="15">
        <v>0.0</v>
      </c>
      <c r="ADY10" s="15">
        <v>0.0</v>
      </c>
      <c r="ADZ10" s="16">
        <v>0.0</v>
      </c>
      <c r="AEB10" s="17">
        <v>0.0</v>
      </c>
      <c r="AEC10" s="15">
        <v>0.0</v>
      </c>
      <c r="AED10" s="15">
        <v>0.0</v>
      </c>
      <c r="AEE10" s="16">
        <v>0.0</v>
      </c>
      <c r="AEG10" s="17">
        <v>0.0</v>
      </c>
      <c r="AEH10" s="15">
        <v>0.0</v>
      </c>
      <c r="AEI10" s="15">
        <v>0.0</v>
      </c>
      <c r="AEJ10" s="16">
        <v>0.0</v>
      </c>
      <c r="AEL10" s="17">
        <v>0.0</v>
      </c>
      <c r="AEM10" s="15">
        <v>0.0</v>
      </c>
      <c r="AEN10" s="15">
        <v>0.0</v>
      </c>
      <c r="AEO10" s="16">
        <v>0.0</v>
      </c>
      <c r="AEQ10" s="17">
        <v>0.0</v>
      </c>
      <c r="AER10" s="15">
        <v>0.0</v>
      </c>
      <c r="AES10" s="15">
        <v>0.0</v>
      </c>
      <c r="AET10" s="16">
        <v>0.0</v>
      </c>
      <c r="AEV10" s="17">
        <v>0.0</v>
      </c>
      <c r="AEW10" s="15">
        <v>0.0</v>
      </c>
      <c r="AEX10" s="15">
        <v>0.0</v>
      </c>
      <c r="AEY10" s="16">
        <v>0.0</v>
      </c>
      <c r="AFA10" s="17">
        <v>0.0</v>
      </c>
      <c r="AFB10" s="15">
        <v>0.0</v>
      </c>
      <c r="AFC10" s="15">
        <v>0.0</v>
      </c>
      <c r="AFD10" s="16">
        <v>0.0</v>
      </c>
      <c r="AFF10" s="17">
        <v>0.0</v>
      </c>
      <c r="AFG10" s="15">
        <v>0.0</v>
      </c>
      <c r="AFH10" s="15">
        <v>0.0</v>
      </c>
      <c r="AFI10" s="16">
        <v>0.0</v>
      </c>
      <c r="AFK10" s="17">
        <v>0.0</v>
      </c>
      <c r="AFL10" s="15">
        <v>0.0</v>
      </c>
      <c r="AFM10" s="15">
        <v>0.0</v>
      </c>
      <c r="AFN10" s="16">
        <v>0.0</v>
      </c>
      <c r="AFP10" s="17">
        <v>0.0</v>
      </c>
      <c r="AFQ10" s="15">
        <v>0.0</v>
      </c>
      <c r="AFR10" s="15">
        <v>0.0</v>
      </c>
      <c r="AFS10" s="16">
        <v>0.0</v>
      </c>
      <c r="AFU10" s="17">
        <v>0.0</v>
      </c>
      <c r="AFV10" s="15">
        <v>0.0</v>
      </c>
      <c r="AFW10" s="15">
        <v>0.0</v>
      </c>
      <c r="AFX10" s="16">
        <v>0.0</v>
      </c>
      <c r="AFZ10" s="17">
        <v>0.0</v>
      </c>
      <c r="AGA10" s="15">
        <v>0.0</v>
      </c>
      <c r="AGB10" s="15">
        <v>0.0</v>
      </c>
      <c r="AGC10" s="16">
        <v>0.0</v>
      </c>
      <c r="AGE10" s="17">
        <v>0.0</v>
      </c>
      <c r="AGF10" s="15">
        <v>0.0</v>
      </c>
      <c r="AGG10" s="15">
        <v>0.0</v>
      </c>
      <c r="AGH10" s="16">
        <v>0.0</v>
      </c>
      <c r="AGJ10" s="17">
        <v>0.0</v>
      </c>
      <c r="AGK10" s="15">
        <v>0.0</v>
      </c>
      <c r="AGL10" s="15">
        <v>0.0</v>
      </c>
      <c r="AGM10" s="16">
        <v>0.0</v>
      </c>
      <c r="AGO10" s="17">
        <v>0.0</v>
      </c>
      <c r="AGP10" s="15">
        <v>0.0</v>
      </c>
      <c r="AGQ10" s="15">
        <v>0.0</v>
      </c>
      <c r="AGR10" s="16">
        <v>0.0</v>
      </c>
      <c r="AGT10" s="17">
        <v>0.0</v>
      </c>
      <c r="AGU10" s="15">
        <v>0.0</v>
      </c>
      <c r="AGV10" s="15">
        <v>0.0</v>
      </c>
      <c r="AGW10" s="16">
        <v>0.0</v>
      </c>
      <c r="AGY10" s="17">
        <v>0.0</v>
      </c>
      <c r="AGZ10" s="15">
        <v>0.0</v>
      </c>
      <c r="AHA10" s="15">
        <v>0.0</v>
      </c>
      <c r="AHB10" s="16">
        <v>0.0</v>
      </c>
      <c r="AHD10" s="17">
        <v>0.0</v>
      </c>
      <c r="AHE10" s="15">
        <v>0.0</v>
      </c>
      <c r="AHF10" s="15">
        <v>0.0</v>
      </c>
      <c r="AHG10" s="16">
        <v>0.0</v>
      </c>
      <c r="AHI10" s="17">
        <v>0.0</v>
      </c>
      <c r="AHJ10" s="15">
        <v>0.0</v>
      </c>
      <c r="AHK10" s="15">
        <v>0.0</v>
      </c>
      <c r="AHL10" s="16">
        <v>0.0</v>
      </c>
      <c r="AHN10" s="17">
        <v>0.0</v>
      </c>
      <c r="AHO10" s="15">
        <v>0.0</v>
      </c>
      <c r="AHP10" s="15">
        <v>0.0</v>
      </c>
      <c r="AHQ10" s="16">
        <v>0.0</v>
      </c>
      <c r="AHS10" s="17">
        <v>0.0</v>
      </c>
      <c r="AHT10" s="15">
        <v>0.0</v>
      </c>
      <c r="AHU10" s="15">
        <v>0.0</v>
      </c>
      <c r="AHV10" s="16">
        <v>0.0</v>
      </c>
      <c r="AHX10" s="17">
        <v>0.0</v>
      </c>
      <c r="AHY10" s="15">
        <v>0.0</v>
      </c>
      <c r="AHZ10" s="15">
        <v>0.0</v>
      </c>
      <c r="AIA10" s="16">
        <v>0.0</v>
      </c>
      <c r="AIC10" s="17">
        <v>0.0</v>
      </c>
      <c r="AID10" s="15">
        <v>0.0</v>
      </c>
      <c r="AIE10" s="15">
        <v>0.0</v>
      </c>
      <c r="AIF10" s="16">
        <v>0.0</v>
      </c>
      <c r="AIH10" s="17">
        <v>0.0</v>
      </c>
      <c r="AII10" s="15">
        <v>0.0</v>
      </c>
      <c r="AIJ10" s="15">
        <v>0.0</v>
      </c>
      <c r="AIK10" s="16">
        <v>0.0</v>
      </c>
      <c r="AIM10" s="17">
        <v>0.0</v>
      </c>
      <c r="AIN10" s="15">
        <v>0.0</v>
      </c>
      <c r="AIO10" s="15">
        <v>0.0</v>
      </c>
      <c r="AIP10" s="16">
        <v>0.0</v>
      </c>
      <c r="AIR10" s="17">
        <v>0.0</v>
      </c>
      <c r="AIS10" s="15">
        <v>0.0</v>
      </c>
      <c r="AIT10" s="15">
        <v>0.0</v>
      </c>
      <c r="AIU10" s="16">
        <v>0.0</v>
      </c>
      <c r="AIW10" s="17">
        <v>0.0</v>
      </c>
      <c r="AIX10" s="15">
        <v>0.0</v>
      </c>
      <c r="AIY10" s="15">
        <v>0.0</v>
      </c>
      <c r="AIZ10" s="16">
        <v>0.0</v>
      </c>
      <c r="AJB10" s="17">
        <v>0.0</v>
      </c>
      <c r="AJC10" s="15">
        <v>0.0</v>
      </c>
      <c r="AJD10" s="15">
        <v>0.0</v>
      </c>
      <c r="AJE10" s="16">
        <v>0.0</v>
      </c>
      <c r="AJG10" s="17">
        <v>0.0</v>
      </c>
      <c r="AJH10" s="15">
        <v>0.0</v>
      </c>
      <c r="AJI10" s="15">
        <v>0.0</v>
      </c>
      <c r="AJJ10" s="16">
        <v>0.0</v>
      </c>
      <c r="AJL10" s="17">
        <v>0.0</v>
      </c>
      <c r="AJM10" s="15">
        <v>0.0</v>
      </c>
      <c r="AJN10" s="15">
        <v>0.0</v>
      </c>
      <c r="AJO10" s="16">
        <v>0.0</v>
      </c>
      <c r="AJQ10" s="17">
        <v>0.0</v>
      </c>
      <c r="AJR10" s="15">
        <v>0.0</v>
      </c>
      <c r="AJS10" s="15">
        <v>0.0</v>
      </c>
      <c r="AJT10" s="16">
        <v>0.0</v>
      </c>
      <c r="AJV10" s="17">
        <v>0.0</v>
      </c>
      <c r="AJW10" s="15">
        <v>0.0</v>
      </c>
      <c r="AJX10" s="15">
        <v>0.0</v>
      </c>
      <c r="AJY10" s="16">
        <v>0.0</v>
      </c>
    </row>
    <row r="11">
      <c r="A11" s="13"/>
      <c r="B11" s="7" t="s">
        <v>196</v>
      </c>
    </row>
    <row r="12">
      <c r="A12" s="13"/>
      <c r="B12" s="9" t="s">
        <v>203</v>
      </c>
      <c r="C12" s="10">
        <v>40.0</v>
      </c>
      <c r="D12" s="10">
        <v>3.0</v>
      </c>
      <c r="E12" s="10">
        <v>6.0</v>
      </c>
      <c r="F12" s="11">
        <v>31.0</v>
      </c>
      <c r="H12" s="12">
        <v>40.0</v>
      </c>
      <c r="I12" s="10">
        <v>8.0</v>
      </c>
      <c r="J12" s="10">
        <v>8.0</v>
      </c>
      <c r="K12" s="11">
        <v>24.0</v>
      </c>
      <c r="M12" s="12">
        <v>40.0</v>
      </c>
      <c r="N12" s="10">
        <v>10.0</v>
      </c>
      <c r="O12" s="10">
        <v>10.0</v>
      </c>
      <c r="P12" s="11">
        <v>20.0</v>
      </c>
      <c r="R12" s="12">
        <v>40.0</v>
      </c>
      <c r="S12" s="10">
        <v>8.0</v>
      </c>
      <c r="T12" s="10">
        <v>13.0</v>
      </c>
      <c r="U12" s="11">
        <v>19.0</v>
      </c>
      <c r="W12" s="12">
        <v>40.0</v>
      </c>
      <c r="X12" s="10">
        <v>8.0</v>
      </c>
      <c r="Y12" s="10">
        <v>10.0</v>
      </c>
      <c r="Z12" s="11">
        <v>22.0</v>
      </c>
      <c r="AB12" s="12">
        <v>40.0</v>
      </c>
      <c r="AC12" s="10">
        <v>1.0</v>
      </c>
      <c r="AD12" s="10">
        <v>13.0</v>
      </c>
      <c r="AE12" s="11">
        <v>26.0</v>
      </c>
      <c r="AG12" s="12">
        <v>40.0</v>
      </c>
      <c r="AH12" s="10">
        <v>4.0</v>
      </c>
      <c r="AI12" s="10">
        <v>17.0</v>
      </c>
      <c r="AJ12" s="11">
        <v>19.0</v>
      </c>
      <c r="AL12" s="12">
        <v>40.0</v>
      </c>
      <c r="AM12" s="10">
        <v>5.0</v>
      </c>
      <c r="AN12" s="10">
        <v>3.0</v>
      </c>
      <c r="AO12" s="11">
        <v>32.0</v>
      </c>
      <c r="AQ12" s="12">
        <v>40.0</v>
      </c>
      <c r="AR12" s="10">
        <v>3.0</v>
      </c>
      <c r="AS12" s="10">
        <v>9.0</v>
      </c>
      <c r="AT12" s="11">
        <v>28.0</v>
      </c>
      <c r="AV12" s="12">
        <v>40.0</v>
      </c>
      <c r="AW12" s="10">
        <v>5.0</v>
      </c>
      <c r="AX12" s="10">
        <v>9.0</v>
      </c>
      <c r="AY12" s="11">
        <v>26.0</v>
      </c>
      <c r="BA12" s="12">
        <v>40.0</v>
      </c>
      <c r="BB12" s="10">
        <v>2.0</v>
      </c>
      <c r="BC12" s="10">
        <v>16.0</v>
      </c>
      <c r="BD12" s="11">
        <v>22.0</v>
      </c>
      <c r="BF12" s="12">
        <v>40.0</v>
      </c>
      <c r="BG12" s="10">
        <v>7.0</v>
      </c>
      <c r="BH12" s="10">
        <v>18.0</v>
      </c>
      <c r="BI12" s="11">
        <v>15.0</v>
      </c>
      <c r="BK12" s="12">
        <v>40.0</v>
      </c>
      <c r="BL12" s="10">
        <v>6.0</v>
      </c>
      <c r="BM12" s="10">
        <v>9.0</v>
      </c>
      <c r="BN12" s="11">
        <v>25.0</v>
      </c>
      <c r="BP12" s="12">
        <v>40.0</v>
      </c>
      <c r="BQ12" s="10">
        <v>9.0</v>
      </c>
      <c r="BR12" s="10">
        <v>7.0</v>
      </c>
      <c r="BS12" s="11">
        <v>24.0</v>
      </c>
      <c r="BU12" s="12">
        <v>40.0</v>
      </c>
      <c r="BV12" s="10">
        <v>3.0</v>
      </c>
      <c r="BW12" s="10">
        <v>17.0</v>
      </c>
      <c r="BX12" s="11">
        <v>20.0</v>
      </c>
      <c r="BZ12" s="12">
        <v>40.0</v>
      </c>
      <c r="CA12" s="10">
        <v>5.0</v>
      </c>
      <c r="CB12" s="10">
        <v>9.0</v>
      </c>
      <c r="CC12" s="11">
        <v>26.0</v>
      </c>
      <c r="CE12" s="12">
        <v>40.0</v>
      </c>
      <c r="CF12" s="10">
        <v>5.0</v>
      </c>
      <c r="CG12" s="10">
        <v>6.0</v>
      </c>
      <c r="CH12" s="11">
        <v>29.0</v>
      </c>
      <c r="CJ12" s="12">
        <v>40.0</v>
      </c>
      <c r="CK12" s="10">
        <v>1.0</v>
      </c>
      <c r="CL12" s="10">
        <v>13.0</v>
      </c>
      <c r="CM12" s="11">
        <v>26.0</v>
      </c>
      <c r="CO12" s="12">
        <v>40.0</v>
      </c>
      <c r="CP12" s="10">
        <v>2.0</v>
      </c>
      <c r="CQ12" s="10">
        <v>13.0</v>
      </c>
      <c r="CR12" s="11">
        <v>25.0</v>
      </c>
      <c r="CT12" s="12">
        <v>40.0</v>
      </c>
      <c r="CU12" s="10">
        <v>8.0</v>
      </c>
      <c r="CV12" s="10">
        <v>13.0</v>
      </c>
      <c r="CW12" s="11">
        <v>19.0</v>
      </c>
      <c r="CY12" s="12">
        <v>40.0</v>
      </c>
      <c r="CZ12" s="10">
        <v>3.0</v>
      </c>
      <c r="DA12" s="10">
        <v>7.0</v>
      </c>
      <c r="DB12" s="11">
        <v>30.0</v>
      </c>
      <c r="DD12" s="12">
        <v>40.0</v>
      </c>
      <c r="DE12" s="10">
        <v>7.0</v>
      </c>
      <c r="DF12" s="10">
        <v>7.0</v>
      </c>
      <c r="DG12" s="11">
        <v>26.0</v>
      </c>
      <c r="DI12" s="12">
        <v>40.0</v>
      </c>
      <c r="DJ12" s="10">
        <v>3.0</v>
      </c>
      <c r="DK12" s="10">
        <v>14.0</v>
      </c>
      <c r="DL12" s="11">
        <v>23.0</v>
      </c>
      <c r="DN12" s="12">
        <v>40.0</v>
      </c>
      <c r="DO12" s="10">
        <v>1.0</v>
      </c>
      <c r="DP12" s="10">
        <v>8.0</v>
      </c>
      <c r="DQ12" s="11">
        <v>31.0</v>
      </c>
      <c r="DS12" s="12">
        <v>40.0</v>
      </c>
      <c r="DT12" s="10">
        <v>3.0</v>
      </c>
      <c r="DU12" s="10">
        <v>11.0</v>
      </c>
      <c r="DV12" s="11">
        <v>26.0</v>
      </c>
      <c r="DX12" s="12">
        <v>40.0</v>
      </c>
      <c r="DY12" s="10">
        <v>5.0</v>
      </c>
      <c r="DZ12" s="10">
        <v>12.0</v>
      </c>
      <c r="EA12" s="11">
        <v>23.0</v>
      </c>
      <c r="EC12" s="12">
        <v>40.0</v>
      </c>
      <c r="ED12" s="10">
        <v>5.0</v>
      </c>
      <c r="EE12" s="10">
        <v>13.0</v>
      </c>
      <c r="EF12" s="11">
        <v>22.0</v>
      </c>
      <c r="EH12" s="12">
        <v>40.0</v>
      </c>
      <c r="EI12" s="10">
        <v>9.0</v>
      </c>
      <c r="EJ12" s="10">
        <v>16.0</v>
      </c>
      <c r="EK12" s="11">
        <v>15.0</v>
      </c>
      <c r="EM12" s="12">
        <v>40.0</v>
      </c>
      <c r="EN12" s="10">
        <v>7.0</v>
      </c>
      <c r="EO12" s="10">
        <v>11.0</v>
      </c>
      <c r="EP12" s="11">
        <v>22.0</v>
      </c>
      <c r="ER12" s="12">
        <v>40.0</v>
      </c>
      <c r="ES12" s="10">
        <v>8.0</v>
      </c>
      <c r="ET12" s="10">
        <v>16.0</v>
      </c>
      <c r="EU12" s="11">
        <v>16.0</v>
      </c>
      <c r="EW12" s="12">
        <v>40.0</v>
      </c>
      <c r="EX12" s="10">
        <v>2.0</v>
      </c>
      <c r="EY12" s="10">
        <v>20.0</v>
      </c>
      <c r="EZ12" s="11">
        <v>18.0</v>
      </c>
      <c r="FB12" s="12">
        <v>40.0</v>
      </c>
      <c r="FC12" s="10">
        <v>5.0</v>
      </c>
      <c r="FD12" s="10">
        <v>8.0</v>
      </c>
      <c r="FE12" s="11">
        <v>27.0</v>
      </c>
      <c r="FG12" s="12">
        <v>40.0</v>
      </c>
      <c r="FH12" s="10">
        <v>5.0</v>
      </c>
      <c r="FI12" s="10">
        <v>10.0</v>
      </c>
      <c r="FJ12" s="11">
        <v>25.0</v>
      </c>
      <c r="FL12" s="12">
        <v>40.0</v>
      </c>
      <c r="FM12" s="10">
        <v>4.0</v>
      </c>
      <c r="FN12" s="10">
        <v>8.0</v>
      </c>
      <c r="FO12" s="11">
        <v>28.0</v>
      </c>
      <c r="FQ12" s="12">
        <v>40.0</v>
      </c>
      <c r="FR12" s="10">
        <v>4.0</v>
      </c>
      <c r="FS12" s="10">
        <v>15.0</v>
      </c>
      <c r="FT12" s="11">
        <v>21.0</v>
      </c>
      <c r="FV12" s="12">
        <v>40.0</v>
      </c>
      <c r="FW12" s="10">
        <v>6.0</v>
      </c>
      <c r="FX12" s="10">
        <v>19.0</v>
      </c>
      <c r="FY12" s="11">
        <v>15.0</v>
      </c>
      <c r="GA12" s="12">
        <v>40.0</v>
      </c>
      <c r="GB12" s="10">
        <v>7.0</v>
      </c>
      <c r="GC12" s="10">
        <v>10.0</v>
      </c>
      <c r="GD12" s="11">
        <v>23.0</v>
      </c>
      <c r="GF12" s="12">
        <v>40.0</v>
      </c>
      <c r="GG12" s="10">
        <v>8.0</v>
      </c>
      <c r="GH12" s="10">
        <v>10.0</v>
      </c>
      <c r="GI12" s="11">
        <v>22.0</v>
      </c>
      <c r="GK12" s="12">
        <v>40.0</v>
      </c>
      <c r="GL12" s="10">
        <v>4.0</v>
      </c>
      <c r="GM12" s="10">
        <v>14.0</v>
      </c>
      <c r="GN12" s="11">
        <v>22.0</v>
      </c>
      <c r="GP12" s="12">
        <v>40.0</v>
      </c>
      <c r="GQ12" s="10">
        <v>8.0</v>
      </c>
      <c r="GR12" s="10">
        <v>6.0</v>
      </c>
      <c r="GS12" s="11">
        <v>26.0</v>
      </c>
      <c r="GU12" s="12">
        <v>40.0</v>
      </c>
      <c r="GV12" s="10">
        <v>3.0</v>
      </c>
      <c r="GW12" s="10">
        <v>14.0</v>
      </c>
      <c r="GX12" s="11">
        <v>23.0</v>
      </c>
      <c r="GZ12" s="12">
        <v>40.0</v>
      </c>
      <c r="HA12" s="10">
        <v>5.0</v>
      </c>
      <c r="HB12" s="10">
        <v>6.0</v>
      </c>
      <c r="HC12" s="11">
        <v>29.0</v>
      </c>
      <c r="HE12" s="12">
        <v>40.0</v>
      </c>
      <c r="HF12" s="10">
        <v>8.0</v>
      </c>
      <c r="HG12" s="10">
        <v>9.0</v>
      </c>
      <c r="HH12" s="11">
        <v>23.0</v>
      </c>
      <c r="HJ12" s="12">
        <v>40.0</v>
      </c>
      <c r="HK12" s="10">
        <v>6.0</v>
      </c>
      <c r="HL12" s="10">
        <v>20.0</v>
      </c>
      <c r="HM12" s="11">
        <v>14.0</v>
      </c>
      <c r="HO12" s="12">
        <v>40.0</v>
      </c>
      <c r="HP12" s="10">
        <v>5.0</v>
      </c>
      <c r="HQ12" s="10">
        <v>13.0</v>
      </c>
      <c r="HR12" s="11">
        <v>22.0</v>
      </c>
      <c r="HT12" s="12">
        <v>40.0</v>
      </c>
      <c r="HU12" s="10">
        <v>6.0</v>
      </c>
      <c r="HV12" s="10">
        <v>18.0</v>
      </c>
      <c r="HW12" s="11">
        <v>16.0</v>
      </c>
      <c r="HY12" s="12">
        <v>40.0</v>
      </c>
      <c r="HZ12" s="10">
        <v>3.0</v>
      </c>
      <c r="IA12" s="10">
        <v>16.0</v>
      </c>
      <c r="IB12" s="11">
        <v>21.0</v>
      </c>
      <c r="ID12" s="12">
        <v>40.0</v>
      </c>
      <c r="IE12" s="10">
        <v>4.0</v>
      </c>
      <c r="IF12" s="10">
        <v>8.0</v>
      </c>
      <c r="IG12" s="11">
        <v>28.0</v>
      </c>
      <c r="II12" s="12">
        <v>40.0</v>
      </c>
      <c r="IJ12" s="10">
        <v>12.0</v>
      </c>
      <c r="IK12" s="10">
        <v>10.0</v>
      </c>
      <c r="IL12" s="11">
        <v>18.0</v>
      </c>
      <c r="IN12" s="12">
        <v>40.0</v>
      </c>
      <c r="IO12" s="10">
        <v>13.0</v>
      </c>
      <c r="IP12" s="10">
        <v>6.0</v>
      </c>
      <c r="IQ12" s="11">
        <v>21.0</v>
      </c>
      <c r="IS12" s="12">
        <v>40.0</v>
      </c>
      <c r="IT12" s="10">
        <v>8.0</v>
      </c>
      <c r="IU12" s="10">
        <v>6.0</v>
      </c>
      <c r="IV12" s="11">
        <v>26.0</v>
      </c>
      <c r="IX12" s="12">
        <v>40.0</v>
      </c>
      <c r="IY12" s="10">
        <v>10.0</v>
      </c>
      <c r="IZ12" s="10">
        <v>15.0</v>
      </c>
      <c r="JA12" s="11">
        <v>15.0</v>
      </c>
      <c r="JC12" s="12">
        <v>40.0</v>
      </c>
      <c r="JD12" s="10">
        <v>9.0</v>
      </c>
      <c r="JE12" s="10">
        <v>6.0</v>
      </c>
      <c r="JF12" s="11">
        <v>25.0</v>
      </c>
      <c r="JH12" s="12">
        <v>40.0</v>
      </c>
      <c r="JI12" s="10">
        <v>4.0</v>
      </c>
      <c r="JJ12" s="10">
        <v>10.0</v>
      </c>
      <c r="JK12" s="11">
        <v>26.0</v>
      </c>
      <c r="JM12" s="12">
        <v>40.0</v>
      </c>
      <c r="JN12" s="10">
        <v>16.0</v>
      </c>
      <c r="JO12" s="10">
        <v>6.0</v>
      </c>
      <c r="JP12" s="11">
        <v>18.0</v>
      </c>
      <c r="JR12" s="12">
        <v>40.0</v>
      </c>
      <c r="JS12" s="10">
        <v>12.0</v>
      </c>
      <c r="JT12" s="10">
        <v>7.0</v>
      </c>
      <c r="JU12" s="11">
        <v>21.0</v>
      </c>
      <c r="JW12" s="12">
        <v>40.0</v>
      </c>
      <c r="JX12" s="10">
        <v>7.0</v>
      </c>
      <c r="JY12" s="10">
        <v>13.0</v>
      </c>
      <c r="JZ12" s="11">
        <v>20.0</v>
      </c>
      <c r="KB12" s="12">
        <v>40.0</v>
      </c>
      <c r="KC12" s="10">
        <v>2.0</v>
      </c>
      <c r="KD12" s="10">
        <v>12.0</v>
      </c>
      <c r="KE12" s="11">
        <v>26.0</v>
      </c>
      <c r="KG12" s="12">
        <v>40.0</v>
      </c>
      <c r="KH12" s="10">
        <v>8.0</v>
      </c>
      <c r="KI12" s="10">
        <v>10.0</v>
      </c>
      <c r="KJ12" s="11">
        <v>22.0</v>
      </c>
      <c r="KL12" s="12">
        <v>40.0</v>
      </c>
      <c r="KM12" s="10">
        <v>2.0</v>
      </c>
      <c r="KN12" s="10">
        <v>18.0</v>
      </c>
      <c r="KO12" s="11">
        <v>20.0</v>
      </c>
      <c r="KQ12" s="12">
        <v>40.0</v>
      </c>
      <c r="KR12" s="10">
        <v>1.0</v>
      </c>
      <c r="KS12" s="10">
        <v>10.0</v>
      </c>
      <c r="KT12" s="11">
        <v>29.0</v>
      </c>
      <c r="KV12" s="12">
        <v>40.0</v>
      </c>
      <c r="KW12" s="10">
        <v>1.0</v>
      </c>
      <c r="KX12" s="10">
        <v>15.0</v>
      </c>
      <c r="KY12" s="11">
        <v>24.0</v>
      </c>
      <c r="LA12" s="12">
        <v>40.0</v>
      </c>
      <c r="LB12" s="10">
        <v>2.0</v>
      </c>
      <c r="LC12" s="10">
        <v>12.0</v>
      </c>
      <c r="LD12" s="11">
        <v>26.0</v>
      </c>
      <c r="LF12" s="12">
        <v>40.0</v>
      </c>
      <c r="LG12" s="10">
        <v>3.0</v>
      </c>
      <c r="LH12" s="10">
        <v>13.0</v>
      </c>
      <c r="LI12" s="11">
        <v>24.0</v>
      </c>
      <c r="LK12" s="12">
        <v>40.0</v>
      </c>
      <c r="LL12" s="10">
        <v>3.0</v>
      </c>
      <c r="LM12" s="10">
        <v>16.0</v>
      </c>
      <c r="LN12" s="11">
        <v>21.0</v>
      </c>
      <c r="LP12" s="12">
        <v>40.0</v>
      </c>
      <c r="LQ12" s="10">
        <v>1.0</v>
      </c>
      <c r="LR12" s="10">
        <v>10.0</v>
      </c>
      <c r="LS12" s="11">
        <v>29.0</v>
      </c>
      <c r="LU12" s="12">
        <v>40.0</v>
      </c>
      <c r="LV12" s="10">
        <v>5.0</v>
      </c>
      <c r="LW12" s="10">
        <v>13.0</v>
      </c>
      <c r="LX12" s="11">
        <v>22.0</v>
      </c>
      <c r="LZ12" s="12">
        <v>40.0</v>
      </c>
      <c r="MA12" s="10">
        <v>1.0</v>
      </c>
      <c r="MB12" s="10">
        <v>17.0</v>
      </c>
      <c r="MC12" s="11">
        <v>22.0</v>
      </c>
      <c r="ME12" s="12">
        <v>40.0</v>
      </c>
      <c r="MF12" s="10">
        <v>1.0</v>
      </c>
      <c r="MG12" s="10">
        <v>9.0</v>
      </c>
      <c r="MH12" s="11">
        <v>30.0</v>
      </c>
      <c r="MJ12" s="12">
        <v>40.0</v>
      </c>
      <c r="MK12" s="10">
        <v>2.0</v>
      </c>
      <c r="ML12" s="10">
        <v>16.0</v>
      </c>
      <c r="MM12" s="11">
        <v>22.0</v>
      </c>
      <c r="MO12" s="12">
        <v>40.0</v>
      </c>
      <c r="MP12" s="10">
        <v>4.0</v>
      </c>
      <c r="MQ12" s="10">
        <v>12.0</v>
      </c>
      <c r="MR12" s="11">
        <v>24.0</v>
      </c>
      <c r="MT12" s="12">
        <v>40.0</v>
      </c>
      <c r="MU12" s="10">
        <v>4.0</v>
      </c>
      <c r="MV12" s="10">
        <v>16.0</v>
      </c>
      <c r="MW12" s="11">
        <v>20.0</v>
      </c>
      <c r="MY12" s="12">
        <v>40.0</v>
      </c>
      <c r="MZ12" s="10">
        <v>11.0</v>
      </c>
      <c r="NA12" s="10">
        <v>10.0</v>
      </c>
      <c r="NB12" s="11">
        <v>19.0</v>
      </c>
      <c r="ND12" s="12">
        <v>40.0</v>
      </c>
      <c r="NE12" s="10">
        <v>12.0</v>
      </c>
      <c r="NF12" s="10">
        <v>10.0</v>
      </c>
      <c r="NG12" s="11">
        <v>18.0</v>
      </c>
      <c r="NI12" s="12">
        <v>40.0</v>
      </c>
      <c r="NJ12" s="10">
        <v>5.0</v>
      </c>
      <c r="NK12" s="10">
        <v>12.0</v>
      </c>
      <c r="NL12" s="11">
        <v>23.0</v>
      </c>
      <c r="NN12" s="12">
        <v>40.0</v>
      </c>
      <c r="NO12" s="10">
        <v>17.0</v>
      </c>
      <c r="NP12" s="10">
        <v>7.0</v>
      </c>
      <c r="NQ12" s="11">
        <v>16.0</v>
      </c>
      <c r="NS12" s="12">
        <v>40.0</v>
      </c>
      <c r="NT12" s="10">
        <v>6.0</v>
      </c>
      <c r="NU12" s="10">
        <v>12.0</v>
      </c>
      <c r="NV12" s="11">
        <v>22.0</v>
      </c>
      <c r="NX12" s="12">
        <v>40.0</v>
      </c>
      <c r="NY12" s="10">
        <v>10.0</v>
      </c>
      <c r="NZ12" s="10">
        <v>5.0</v>
      </c>
      <c r="OA12" s="11">
        <v>25.0</v>
      </c>
      <c r="OC12" s="12">
        <v>40.0</v>
      </c>
      <c r="OD12" s="10">
        <v>11.0</v>
      </c>
      <c r="OE12" s="10">
        <v>6.0</v>
      </c>
      <c r="OF12" s="11">
        <v>23.0</v>
      </c>
      <c r="OH12" s="12">
        <v>40.0</v>
      </c>
      <c r="OI12" s="10">
        <v>10.0</v>
      </c>
      <c r="OJ12" s="10">
        <v>9.0</v>
      </c>
      <c r="OK12" s="11">
        <v>21.0</v>
      </c>
      <c r="OM12" s="12">
        <v>40.0</v>
      </c>
      <c r="ON12" s="10">
        <v>4.0</v>
      </c>
      <c r="OO12" s="10">
        <v>11.0</v>
      </c>
      <c r="OP12" s="11">
        <v>25.0</v>
      </c>
      <c r="OR12" s="12">
        <v>40.0</v>
      </c>
      <c r="OS12" s="10">
        <v>3.0</v>
      </c>
      <c r="OT12" s="10">
        <v>15.0</v>
      </c>
      <c r="OU12" s="11">
        <v>22.0</v>
      </c>
      <c r="OW12" s="12">
        <v>40.0</v>
      </c>
      <c r="OX12" s="10">
        <v>3.0</v>
      </c>
      <c r="OY12" s="10">
        <v>10.0</v>
      </c>
      <c r="OZ12" s="11">
        <v>27.0</v>
      </c>
      <c r="PB12" s="12">
        <v>40.0</v>
      </c>
      <c r="PC12" s="10">
        <v>1.0</v>
      </c>
      <c r="PD12" s="10">
        <v>22.0</v>
      </c>
      <c r="PE12" s="11">
        <v>17.0</v>
      </c>
      <c r="PG12" s="12">
        <v>40.0</v>
      </c>
      <c r="PH12" s="10">
        <v>2.0</v>
      </c>
      <c r="PI12" s="10">
        <v>7.0</v>
      </c>
      <c r="PJ12" s="11">
        <v>31.0</v>
      </c>
      <c r="PL12" s="12">
        <v>40.0</v>
      </c>
      <c r="PM12" s="10">
        <v>7.0</v>
      </c>
      <c r="PN12" s="10">
        <v>6.0</v>
      </c>
      <c r="PO12" s="11">
        <v>27.0</v>
      </c>
      <c r="PQ12" s="12">
        <v>40.0</v>
      </c>
      <c r="PR12" s="10">
        <v>5.0</v>
      </c>
      <c r="PS12" s="10">
        <v>9.0</v>
      </c>
      <c r="PT12" s="11">
        <v>26.0</v>
      </c>
      <c r="PV12" s="12">
        <v>40.0</v>
      </c>
      <c r="PW12" s="10">
        <v>3.0</v>
      </c>
      <c r="PX12" s="10">
        <v>14.0</v>
      </c>
      <c r="PY12" s="11">
        <v>23.0</v>
      </c>
      <c r="QA12" s="12">
        <v>40.0</v>
      </c>
      <c r="QB12" s="10">
        <v>3.0</v>
      </c>
      <c r="QC12" s="10">
        <v>17.0</v>
      </c>
      <c r="QD12" s="11">
        <v>20.0</v>
      </c>
      <c r="QF12" s="12">
        <v>40.0</v>
      </c>
      <c r="QG12" s="10">
        <v>4.0</v>
      </c>
      <c r="QH12" s="10">
        <v>12.0</v>
      </c>
      <c r="QI12" s="11">
        <v>24.0</v>
      </c>
      <c r="QK12" s="12">
        <v>40.0</v>
      </c>
      <c r="QL12" s="10">
        <v>4.0</v>
      </c>
      <c r="QM12" s="10">
        <v>11.0</v>
      </c>
      <c r="QN12" s="11">
        <v>25.0</v>
      </c>
      <c r="QP12" s="12">
        <v>40.0</v>
      </c>
      <c r="QQ12" s="10">
        <v>2.0</v>
      </c>
      <c r="QR12" s="10">
        <v>12.0</v>
      </c>
      <c r="QS12" s="11">
        <v>26.0</v>
      </c>
      <c r="QU12" s="12">
        <v>40.0</v>
      </c>
      <c r="QV12" s="10">
        <v>5.0</v>
      </c>
      <c r="QW12" s="10">
        <v>9.0</v>
      </c>
      <c r="QX12" s="11">
        <v>26.0</v>
      </c>
      <c r="QZ12" s="12">
        <v>40.0</v>
      </c>
      <c r="RA12" s="10">
        <v>2.0</v>
      </c>
      <c r="RB12" s="10">
        <v>14.0</v>
      </c>
      <c r="RC12" s="11">
        <v>24.0</v>
      </c>
      <c r="RE12" s="12">
        <v>40.0</v>
      </c>
      <c r="RF12" s="10">
        <v>4.0</v>
      </c>
      <c r="RG12" s="10">
        <v>7.0</v>
      </c>
      <c r="RH12" s="11">
        <v>29.0</v>
      </c>
      <c r="RJ12" s="12">
        <v>40.0</v>
      </c>
      <c r="RK12" s="10">
        <v>6.0</v>
      </c>
      <c r="RL12" s="10">
        <v>8.0</v>
      </c>
      <c r="RM12" s="11">
        <v>26.0</v>
      </c>
      <c r="RO12" s="12">
        <v>40.0</v>
      </c>
      <c r="RP12" s="10">
        <v>13.0</v>
      </c>
      <c r="RQ12" s="10">
        <v>7.0</v>
      </c>
      <c r="RR12" s="11">
        <v>20.0</v>
      </c>
      <c r="RT12" s="12">
        <v>40.0</v>
      </c>
      <c r="RU12" s="10">
        <v>7.0</v>
      </c>
      <c r="RV12" s="10">
        <v>13.0</v>
      </c>
      <c r="RW12" s="11">
        <v>20.0</v>
      </c>
      <c r="RY12" s="12">
        <v>40.0</v>
      </c>
      <c r="RZ12" s="10">
        <v>7.0</v>
      </c>
      <c r="SA12" s="10">
        <v>13.0</v>
      </c>
      <c r="SB12" s="11">
        <v>20.0</v>
      </c>
      <c r="SD12" s="12">
        <v>40.0</v>
      </c>
      <c r="SE12" s="10">
        <v>7.0</v>
      </c>
      <c r="SF12" s="10">
        <v>10.0</v>
      </c>
      <c r="SG12" s="11">
        <v>23.0</v>
      </c>
      <c r="SI12" s="12">
        <v>40.0</v>
      </c>
      <c r="SJ12" s="10">
        <v>5.0</v>
      </c>
      <c r="SK12" s="10">
        <v>12.0</v>
      </c>
      <c r="SL12" s="11">
        <v>23.0</v>
      </c>
      <c r="SN12" s="12">
        <v>40.0</v>
      </c>
      <c r="SO12" s="10">
        <v>9.0</v>
      </c>
      <c r="SP12" s="10">
        <v>5.0</v>
      </c>
      <c r="SQ12" s="11">
        <v>26.0</v>
      </c>
      <c r="SS12" s="12">
        <v>40.0</v>
      </c>
      <c r="ST12" s="10">
        <v>10.0</v>
      </c>
      <c r="SU12" s="10">
        <v>8.0</v>
      </c>
      <c r="SV12" s="11">
        <v>22.0</v>
      </c>
      <c r="SX12" s="12">
        <v>40.0</v>
      </c>
      <c r="SY12" s="10">
        <v>6.0</v>
      </c>
      <c r="SZ12" s="10">
        <v>7.0</v>
      </c>
      <c r="TA12" s="11">
        <v>27.0</v>
      </c>
      <c r="TC12" s="12">
        <v>40.0</v>
      </c>
      <c r="TD12" s="10">
        <v>4.0</v>
      </c>
      <c r="TE12" s="10">
        <v>13.0</v>
      </c>
      <c r="TF12" s="11">
        <v>23.0</v>
      </c>
      <c r="TH12" s="12">
        <v>40.0</v>
      </c>
      <c r="TI12" s="10">
        <v>3.0</v>
      </c>
      <c r="TJ12" s="10">
        <v>22.0</v>
      </c>
      <c r="TK12" s="11">
        <v>15.0</v>
      </c>
      <c r="TM12" s="12">
        <v>40.0</v>
      </c>
      <c r="TN12" s="10">
        <v>4.0</v>
      </c>
      <c r="TO12" s="10">
        <v>13.0</v>
      </c>
      <c r="TP12" s="11">
        <v>23.0</v>
      </c>
      <c r="TR12" s="12">
        <v>40.0</v>
      </c>
      <c r="TS12" s="10">
        <v>6.0</v>
      </c>
      <c r="TT12" s="10">
        <v>9.0</v>
      </c>
      <c r="TU12" s="11">
        <v>25.0</v>
      </c>
      <c r="TW12" s="12">
        <v>40.0</v>
      </c>
      <c r="TX12" s="10">
        <v>5.0</v>
      </c>
      <c r="TY12" s="10">
        <v>16.0</v>
      </c>
      <c r="TZ12" s="11">
        <v>19.0</v>
      </c>
      <c r="UB12" s="12">
        <v>40.0</v>
      </c>
      <c r="UC12" s="10">
        <v>1.0</v>
      </c>
      <c r="UD12" s="10">
        <v>10.0</v>
      </c>
      <c r="UE12" s="11">
        <v>29.0</v>
      </c>
      <c r="UG12" s="12">
        <v>40.0</v>
      </c>
      <c r="UH12" s="10">
        <v>2.0</v>
      </c>
      <c r="UI12" s="10">
        <v>21.0</v>
      </c>
      <c r="UJ12" s="11">
        <v>17.0</v>
      </c>
      <c r="UL12" s="12">
        <v>40.0</v>
      </c>
      <c r="UM12" s="10">
        <v>1.0</v>
      </c>
      <c r="UN12" s="10">
        <v>13.0</v>
      </c>
      <c r="UO12" s="11">
        <v>26.0</v>
      </c>
      <c r="UQ12" s="12">
        <v>40.0</v>
      </c>
      <c r="UR12" s="10">
        <v>1.0</v>
      </c>
      <c r="US12" s="10">
        <v>13.0</v>
      </c>
      <c r="UT12" s="11">
        <v>26.0</v>
      </c>
      <c r="UV12" s="12">
        <v>40.0</v>
      </c>
      <c r="UW12" s="10">
        <v>4.0</v>
      </c>
      <c r="UX12" s="10">
        <v>18.0</v>
      </c>
      <c r="UY12" s="11">
        <v>18.0</v>
      </c>
      <c r="VA12" s="12">
        <v>40.0</v>
      </c>
      <c r="VB12" s="10">
        <v>3.0</v>
      </c>
      <c r="VC12" s="10">
        <v>8.0</v>
      </c>
      <c r="VD12" s="11">
        <v>29.0</v>
      </c>
      <c r="VF12" s="12">
        <v>40.0</v>
      </c>
      <c r="VG12" s="10">
        <v>4.0</v>
      </c>
      <c r="VH12" s="10">
        <v>8.0</v>
      </c>
      <c r="VI12" s="11">
        <v>28.0</v>
      </c>
      <c r="VK12" s="12">
        <v>40.0</v>
      </c>
      <c r="VL12" s="10">
        <v>3.0</v>
      </c>
      <c r="VM12" s="10">
        <v>4.0</v>
      </c>
      <c r="VN12" s="11">
        <v>33.0</v>
      </c>
      <c r="VP12" s="12">
        <v>40.0</v>
      </c>
      <c r="VQ12" s="10">
        <v>3.0</v>
      </c>
      <c r="VR12" s="10">
        <v>11.0</v>
      </c>
      <c r="VS12" s="11">
        <v>26.0</v>
      </c>
      <c r="VU12" s="12">
        <v>40.0</v>
      </c>
      <c r="VV12" s="10">
        <v>2.0</v>
      </c>
      <c r="VW12" s="10">
        <v>15.0</v>
      </c>
      <c r="VX12" s="11">
        <v>23.0</v>
      </c>
      <c r="VZ12" s="12">
        <v>40.0</v>
      </c>
      <c r="WA12" s="10">
        <v>2.0</v>
      </c>
      <c r="WB12" s="10">
        <v>9.0</v>
      </c>
      <c r="WC12" s="11">
        <v>29.0</v>
      </c>
      <c r="WE12" s="12">
        <v>40.0</v>
      </c>
      <c r="WF12" s="10">
        <v>10.0</v>
      </c>
      <c r="WG12" s="10">
        <v>13.0</v>
      </c>
      <c r="WH12" s="11">
        <v>17.0</v>
      </c>
      <c r="WJ12" s="12">
        <v>40.0</v>
      </c>
      <c r="WK12" s="10">
        <v>3.0</v>
      </c>
      <c r="WL12" s="10">
        <v>19.0</v>
      </c>
      <c r="WM12" s="11">
        <v>18.0</v>
      </c>
      <c r="WO12" s="12">
        <v>40.0</v>
      </c>
      <c r="WP12" s="10">
        <v>10.0</v>
      </c>
      <c r="WQ12" s="10">
        <v>14.0</v>
      </c>
      <c r="WR12" s="11">
        <v>16.0</v>
      </c>
      <c r="WT12" s="12">
        <v>40.0</v>
      </c>
      <c r="WU12" s="10">
        <v>9.0</v>
      </c>
      <c r="WV12" s="10">
        <v>8.0</v>
      </c>
      <c r="WW12" s="11">
        <v>23.0</v>
      </c>
      <c r="WY12" s="12">
        <v>40.0</v>
      </c>
      <c r="WZ12" s="10">
        <v>1.0</v>
      </c>
      <c r="XA12" s="10">
        <v>11.0</v>
      </c>
      <c r="XB12" s="11">
        <v>28.0</v>
      </c>
      <c r="XD12" s="12">
        <v>40.0</v>
      </c>
      <c r="XE12" s="10">
        <v>10.0</v>
      </c>
      <c r="XF12" s="10">
        <v>10.0</v>
      </c>
      <c r="XG12" s="11">
        <v>20.0</v>
      </c>
      <c r="XI12" s="12">
        <v>40.0</v>
      </c>
      <c r="XJ12" s="10">
        <v>10.0</v>
      </c>
      <c r="XK12" s="10">
        <v>10.0</v>
      </c>
      <c r="XL12" s="11">
        <v>20.0</v>
      </c>
      <c r="XN12" s="12">
        <v>40.0</v>
      </c>
      <c r="XO12" s="10">
        <v>6.0</v>
      </c>
      <c r="XP12" s="10">
        <v>17.0</v>
      </c>
      <c r="XQ12" s="11">
        <v>17.0</v>
      </c>
      <c r="XS12" s="12">
        <v>40.0</v>
      </c>
      <c r="XT12" s="10">
        <v>6.0</v>
      </c>
      <c r="XU12" s="10">
        <v>19.0</v>
      </c>
      <c r="XV12" s="11">
        <v>15.0</v>
      </c>
      <c r="XX12" s="12">
        <v>40.0</v>
      </c>
      <c r="XY12" s="10">
        <v>4.0</v>
      </c>
      <c r="XZ12" s="10">
        <v>16.0</v>
      </c>
      <c r="YA12" s="11">
        <v>20.0</v>
      </c>
      <c r="YC12" s="12">
        <v>40.0</v>
      </c>
      <c r="YD12" s="10">
        <v>4.0</v>
      </c>
      <c r="YE12" s="10">
        <v>12.0</v>
      </c>
      <c r="YF12" s="11">
        <v>24.0</v>
      </c>
      <c r="YH12" s="12">
        <v>40.0</v>
      </c>
      <c r="YI12" s="10">
        <v>5.0</v>
      </c>
      <c r="YJ12" s="10">
        <v>12.0</v>
      </c>
      <c r="YK12" s="11">
        <v>23.0</v>
      </c>
      <c r="YM12" s="12">
        <v>40.0</v>
      </c>
      <c r="YN12" s="10">
        <v>3.0</v>
      </c>
      <c r="YO12" s="10">
        <v>15.0</v>
      </c>
      <c r="YP12" s="11">
        <v>22.0</v>
      </c>
      <c r="YR12" s="12">
        <v>40.0</v>
      </c>
      <c r="YS12" s="10">
        <v>3.0</v>
      </c>
      <c r="YT12" s="10">
        <v>17.0</v>
      </c>
      <c r="YU12" s="11">
        <v>20.0</v>
      </c>
      <c r="YW12" s="12">
        <v>40.0</v>
      </c>
      <c r="YX12" s="10">
        <v>6.0</v>
      </c>
      <c r="YY12" s="10">
        <v>18.0</v>
      </c>
      <c r="YZ12" s="11">
        <v>16.0</v>
      </c>
      <c r="ZB12" s="12">
        <v>40.0</v>
      </c>
      <c r="ZC12" s="10">
        <v>4.0</v>
      </c>
      <c r="ZD12" s="10">
        <v>15.0</v>
      </c>
      <c r="ZE12" s="11">
        <v>21.0</v>
      </c>
      <c r="ZG12" s="12">
        <v>40.0</v>
      </c>
      <c r="ZH12" s="10">
        <v>2.0</v>
      </c>
      <c r="ZI12" s="10">
        <v>19.0</v>
      </c>
      <c r="ZJ12" s="11">
        <v>19.0</v>
      </c>
      <c r="ZL12" s="12">
        <v>40.0</v>
      </c>
      <c r="ZM12" s="10">
        <v>2.0</v>
      </c>
      <c r="ZN12" s="10">
        <v>18.0</v>
      </c>
      <c r="ZO12" s="11">
        <v>20.0</v>
      </c>
      <c r="ZQ12" s="12">
        <v>40.0</v>
      </c>
      <c r="ZR12" s="10">
        <v>6.0</v>
      </c>
      <c r="ZS12" s="10">
        <v>12.0</v>
      </c>
      <c r="ZT12" s="11">
        <v>22.0</v>
      </c>
      <c r="ZV12" s="12">
        <v>40.0</v>
      </c>
      <c r="ZW12" s="10">
        <v>6.0</v>
      </c>
      <c r="ZX12" s="10">
        <v>9.0</v>
      </c>
      <c r="ZY12" s="11">
        <v>25.0</v>
      </c>
      <c r="AAA12" s="12">
        <v>40.0</v>
      </c>
      <c r="AAB12" s="10">
        <v>3.0</v>
      </c>
      <c r="AAC12" s="10">
        <v>11.0</v>
      </c>
      <c r="AAD12" s="11">
        <v>26.0</v>
      </c>
      <c r="AAF12" s="12">
        <v>40.0</v>
      </c>
      <c r="AAG12" s="10">
        <v>5.0</v>
      </c>
      <c r="AAH12" s="10">
        <v>14.0</v>
      </c>
      <c r="AAI12" s="11">
        <v>21.0</v>
      </c>
      <c r="AAK12" s="12">
        <v>40.0</v>
      </c>
      <c r="AAL12" s="10">
        <v>1.0</v>
      </c>
      <c r="AAM12" s="10">
        <v>25.0</v>
      </c>
      <c r="AAN12" s="11">
        <v>14.0</v>
      </c>
      <c r="AAP12" s="12">
        <v>40.0</v>
      </c>
      <c r="AAQ12" s="10">
        <v>2.0</v>
      </c>
      <c r="AAR12" s="10">
        <v>21.0</v>
      </c>
      <c r="AAS12" s="11">
        <v>17.0</v>
      </c>
      <c r="AAU12" s="12">
        <v>40.0</v>
      </c>
      <c r="AAV12" s="10">
        <v>11.0</v>
      </c>
      <c r="AAW12" s="10">
        <v>7.0</v>
      </c>
      <c r="AAX12" s="11">
        <v>22.0</v>
      </c>
      <c r="AAZ12" s="12">
        <v>40.0</v>
      </c>
      <c r="ABA12" s="10">
        <v>4.0</v>
      </c>
      <c r="ABB12" s="10">
        <v>7.0</v>
      </c>
      <c r="ABC12" s="11">
        <v>29.0</v>
      </c>
      <c r="ABE12" s="12">
        <v>40.0</v>
      </c>
      <c r="ABF12" s="10">
        <v>7.0</v>
      </c>
      <c r="ABG12" s="10">
        <v>9.0</v>
      </c>
      <c r="ABH12" s="11">
        <v>24.0</v>
      </c>
      <c r="ABJ12" s="12">
        <v>40.0</v>
      </c>
      <c r="ABK12" s="10">
        <v>11.0</v>
      </c>
      <c r="ABL12" s="10">
        <v>9.0</v>
      </c>
      <c r="ABM12" s="11">
        <v>20.0</v>
      </c>
      <c r="ABO12" s="12">
        <v>40.0</v>
      </c>
      <c r="ABP12" s="10">
        <v>5.0</v>
      </c>
      <c r="ABQ12" s="10">
        <v>9.0</v>
      </c>
      <c r="ABR12" s="11">
        <v>26.0</v>
      </c>
      <c r="ABT12" s="12">
        <v>40.0</v>
      </c>
      <c r="ABU12" s="10">
        <v>7.0</v>
      </c>
      <c r="ABV12" s="10">
        <v>10.0</v>
      </c>
      <c r="ABW12" s="11">
        <v>23.0</v>
      </c>
      <c r="ABY12" s="12">
        <v>40.0</v>
      </c>
      <c r="ABZ12" s="10">
        <v>1.0</v>
      </c>
      <c r="ACA12" s="10">
        <v>10.0</v>
      </c>
      <c r="ACB12" s="11">
        <v>29.0</v>
      </c>
      <c r="ACD12" s="12">
        <v>40.0</v>
      </c>
      <c r="ACE12" s="10">
        <v>9.0</v>
      </c>
      <c r="ACF12" s="10">
        <v>7.0</v>
      </c>
      <c r="ACG12" s="11">
        <v>24.0</v>
      </c>
      <c r="ACI12" s="12">
        <v>40.0</v>
      </c>
      <c r="ACJ12" s="10">
        <v>3.0</v>
      </c>
      <c r="ACK12" s="10">
        <v>10.0</v>
      </c>
      <c r="ACL12" s="11">
        <v>27.0</v>
      </c>
      <c r="ACN12" s="12">
        <v>40.0</v>
      </c>
      <c r="ACO12" s="10">
        <v>3.0</v>
      </c>
      <c r="ACP12" s="10">
        <v>3.0</v>
      </c>
      <c r="ACQ12" s="11">
        <v>34.0</v>
      </c>
      <c r="ACS12" s="12">
        <v>40.0</v>
      </c>
      <c r="ACT12" s="10">
        <v>4.0</v>
      </c>
      <c r="ACU12" s="10">
        <v>9.0</v>
      </c>
      <c r="ACV12" s="11">
        <v>27.0</v>
      </c>
      <c r="ACX12" s="12">
        <v>40.0</v>
      </c>
      <c r="ACY12" s="10">
        <v>0.0</v>
      </c>
      <c r="ACZ12" s="10">
        <v>18.0</v>
      </c>
      <c r="ADA12" s="11">
        <v>22.0</v>
      </c>
      <c r="ADC12" s="12">
        <v>40.0</v>
      </c>
      <c r="ADD12" s="10">
        <v>2.0</v>
      </c>
      <c r="ADE12" s="10">
        <v>9.0</v>
      </c>
      <c r="ADF12" s="11">
        <v>29.0</v>
      </c>
      <c r="ADH12" s="12">
        <v>40.0</v>
      </c>
      <c r="ADI12" s="10">
        <v>1.0</v>
      </c>
      <c r="ADJ12" s="10">
        <v>13.0</v>
      </c>
      <c r="ADK12" s="11">
        <v>26.0</v>
      </c>
      <c r="ADM12" s="12">
        <v>40.0</v>
      </c>
      <c r="ADN12" s="10">
        <v>1.0</v>
      </c>
      <c r="ADO12" s="10">
        <v>7.0</v>
      </c>
      <c r="ADP12" s="11">
        <v>32.0</v>
      </c>
      <c r="ADR12" s="12">
        <v>40.0</v>
      </c>
      <c r="ADS12" s="10">
        <v>1.0</v>
      </c>
      <c r="ADT12" s="10">
        <v>9.0</v>
      </c>
      <c r="ADU12" s="11">
        <v>30.0</v>
      </c>
      <c r="ADW12" s="12">
        <v>40.0</v>
      </c>
      <c r="ADX12" s="10">
        <v>2.0</v>
      </c>
      <c r="ADY12" s="10">
        <v>11.0</v>
      </c>
      <c r="ADZ12" s="11">
        <v>27.0</v>
      </c>
      <c r="AEB12" s="12">
        <v>40.0</v>
      </c>
      <c r="AEC12" s="10">
        <v>1.0</v>
      </c>
      <c r="AED12" s="10">
        <v>5.0</v>
      </c>
      <c r="AEE12" s="11">
        <v>34.0</v>
      </c>
      <c r="AEG12" s="12">
        <v>40.0</v>
      </c>
      <c r="AEH12" s="10">
        <v>1.0</v>
      </c>
      <c r="AEI12" s="10">
        <v>12.0</v>
      </c>
      <c r="AEJ12" s="11">
        <v>27.0</v>
      </c>
      <c r="AEL12" s="12">
        <v>40.0</v>
      </c>
      <c r="AEM12" s="10">
        <v>3.0</v>
      </c>
      <c r="AEN12" s="10">
        <v>17.0</v>
      </c>
      <c r="AEO12" s="11">
        <v>20.0</v>
      </c>
      <c r="AEQ12" s="12">
        <v>40.0</v>
      </c>
      <c r="AER12" s="10">
        <v>3.0</v>
      </c>
      <c r="AES12" s="10">
        <v>6.0</v>
      </c>
      <c r="AET12" s="11">
        <v>31.0</v>
      </c>
      <c r="AEV12" s="12">
        <v>40.0</v>
      </c>
      <c r="AEW12" s="10">
        <v>3.0</v>
      </c>
      <c r="AEX12" s="10">
        <v>13.0</v>
      </c>
      <c r="AEY12" s="11">
        <v>24.0</v>
      </c>
      <c r="AFA12" s="12">
        <v>40.0</v>
      </c>
      <c r="AFB12" s="10">
        <v>3.0</v>
      </c>
      <c r="AFC12" s="10">
        <v>6.0</v>
      </c>
      <c r="AFD12" s="11">
        <v>31.0</v>
      </c>
      <c r="AFF12" s="12">
        <v>40.0</v>
      </c>
      <c r="AFG12" s="10">
        <v>1.0</v>
      </c>
      <c r="AFH12" s="10">
        <v>9.0</v>
      </c>
      <c r="AFI12" s="11">
        <v>30.0</v>
      </c>
      <c r="AFK12" s="12">
        <v>40.0</v>
      </c>
      <c r="AFL12" s="10">
        <v>7.0</v>
      </c>
      <c r="AFM12" s="10">
        <v>8.0</v>
      </c>
      <c r="AFN12" s="11">
        <v>25.0</v>
      </c>
      <c r="AFP12" s="12">
        <v>40.0</v>
      </c>
      <c r="AFQ12" s="10">
        <v>5.0</v>
      </c>
      <c r="AFR12" s="10">
        <v>7.0</v>
      </c>
      <c r="AFS12" s="11">
        <v>28.0</v>
      </c>
      <c r="AFU12" s="12">
        <v>40.0</v>
      </c>
      <c r="AFV12" s="10">
        <v>5.0</v>
      </c>
      <c r="AFW12" s="10">
        <v>7.0</v>
      </c>
      <c r="AFX12" s="11">
        <v>28.0</v>
      </c>
      <c r="AFZ12" s="12">
        <v>40.0</v>
      </c>
      <c r="AGA12" s="10">
        <v>5.0</v>
      </c>
      <c r="AGB12" s="10">
        <v>14.0</v>
      </c>
      <c r="AGC12" s="11">
        <v>21.0</v>
      </c>
      <c r="AGE12" s="12">
        <v>40.0</v>
      </c>
      <c r="AGF12" s="10">
        <v>8.0</v>
      </c>
      <c r="AGG12" s="10">
        <v>5.0</v>
      </c>
      <c r="AGH12" s="11">
        <v>27.0</v>
      </c>
      <c r="AGJ12" s="12">
        <v>40.0</v>
      </c>
      <c r="AGK12" s="10">
        <v>11.0</v>
      </c>
      <c r="AGL12" s="10">
        <v>8.0</v>
      </c>
      <c r="AGM12" s="11">
        <v>21.0</v>
      </c>
      <c r="AGO12" s="12">
        <v>40.0</v>
      </c>
      <c r="AGP12" s="10">
        <v>11.0</v>
      </c>
      <c r="AGQ12" s="10">
        <v>6.0</v>
      </c>
      <c r="AGR12" s="11">
        <v>23.0</v>
      </c>
      <c r="AGT12" s="12">
        <v>40.0</v>
      </c>
      <c r="AGU12" s="10">
        <v>4.0</v>
      </c>
      <c r="AGV12" s="10">
        <v>14.0</v>
      </c>
      <c r="AGW12" s="11">
        <v>22.0</v>
      </c>
      <c r="AGY12" s="12">
        <v>40.0</v>
      </c>
      <c r="AGZ12" s="10">
        <v>2.0</v>
      </c>
      <c r="AHA12" s="10">
        <v>11.0</v>
      </c>
      <c r="AHB12" s="11">
        <v>27.0</v>
      </c>
      <c r="AHD12" s="12">
        <v>40.0</v>
      </c>
      <c r="AHE12" s="10">
        <v>4.0</v>
      </c>
      <c r="AHF12" s="10">
        <v>8.0</v>
      </c>
      <c r="AHG12" s="11">
        <v>28.0</v>
      </c>
      <c r="AHI12" s="12">
        <v>40.0</v>
      </c>
      <c r="AHJ12" s="10">
        <v>2.0</v>
      </c>
      <c r="AHK12" s="10">
        <v>10.0</v>
      </c>
      <c r="AHL12" s="11">
        <v>28.0</v>
      </c>
      <c r="AHN12" s="12">
        <v>40.0</v>
      </c>
      <c r="AHO12" s="10">
        <v>7.0</v>
      </c>
      <c r="AHP12" s="10">
        <v>11.0</v>
      </c>
      <c r="AHQ12" s="11">
        <v>22.0</v>
      </c>
      <c r="AHS12" s="12">
        <v>40.0</v>
      </c>
      <c r="AHT12" s="10">
        <v>5.0</v>
      </c>
      <c r="AHU12" s="10">
        <v>6.0</v>
      </c>
      <c r="AHV12" s="11">
        <v>29.0</v>
      </c>
      <c r="AHX12" s="12">
        <v>40.0</v>
      </c>
      <c r="AHY12" s="10">
        <v>2.0</v>
      </c>
      <c r="AHZ12" s="10">
        <v>11.0</v>
      </c>
      <c r="AIA12" s="11">
        <v>27.0</v>
      </c>
      <c r="AIC12" s="12">
        <v>40.0</v>
      </c>
      <c r="AID12" s="10">
        <v>2.0</v>
      </c>
      <c r="AIE12" s="10">
        <v>7.0</v>
      </c>
      <c r="AIF12" s="11">
        <v>31.0</v>
      </c>
      <c r="AIH12" s="12">
        <v>40.0</v>
      </c>
      <c r="AII12" s="10">
        <v>2.0</v>
      </c>
      <c r="AIJ12" s="10">
        <v>17.0</v>
      </c>
      <c r="AIK12" s="11">
        <v>21.0</v>
      </c>
      <c r="AIM12" s="12">
        <v>40.0</v>
      </c>
      <c r="AIN12" s="10">
        <v>0.0</v>
      </c>
      <c r="AIO12" s="10">
        <v>15.0</v>
      </c>
      <c r="AIP12" s="11">
        <v>25.0</v>
      </c>
      <c r="AIR12" s="12">
        <v>40.0</v>
      </c>
      <c r="AIS12" s="10">
        <v>1.0</v>
      </c>
      <c r="AIT12" s="10">
        <v>8.0</v>
      </c>
      <c r="AIU12" s="11">
        <v>31.0</v>
      </c>
      <c r="AIW12" s="12">
        <v>40.0</v>
      </c>
      <c r="AIX12" s="10">
        <v>4.0</v>
      </c>
      <c r="AIY12" s="10">
        <v>12.0</v>
      </c>
      <c r="AIZ12" s="11">
        <v>24.0</v>
      </c>
      <c r="AJB12" s="12">
        <v>40.0</v>
      </c>
      <c r="AJC12" s="10">
        <v>2.0</v>
      </c>
      <c r="AJD12" s="10">
        <v>15.0</v>
      </c>
      <c r="AJE12" s="11">
        <v>23.0</v>
      </c>
      <c r="AJG12" s="12">
        <v>40.0</v>
      </c>
      <c r="AJH12" s="10">
        <v>4.0</v>
      </c>
      <c r="AJI12" s="10">
        <v>7.0</v>
      </c>
      <c r="AJJ12" s="11">
        <v>29.0</v>
      </c>
      <c r="AJL12" s="12">
        <v>40.0</v>
      </c>
      <c r="AJM12" s="10">
        <v>2.0</v>
      </c>
      <c r="AJN12" s="10">
        <v>12.0</v>
      </c>
      <c r="AJO12" s="11">
        <v>26.0</v>
      </c>
      <c r="AJQ12" s="12">
        <v>40.0</v>
      </c>
      <c r="AJR12" s="10">
        <v>4.0</v>
      </c>
      <c r="AJS12" s="10">
        <v>5.0</v>
      </c>
      <c r="AJT12" s="11">
        <v>31.0</v>
      </c>
      <c r="AJV12" s="12">
        <v>40.0</v>
      </c>
      <c r="AJW12" s="10">
        <v>2.0</v>
      </c>
      <c r="AJX12" s="10">
        <v>16.0</v>
      </c>
      <c r="AJY12" s="11">
        <v>22.0</v>
      </c>
    </row>
    <row r="13">
      <c r="A13" s="13"/>
      <c r="B13" s="18" t="s">
        <v>196</v>
      </c>
      <c r="C13" s="19">
        <v>1.0</v>
      </c>
      <c r="D13" s="19">
        <v>1.0</v>
      </c>
      <c r="E13" s="19">
        <v>1.0</v>
      </c>
      <c r="F13" s="20">
        <v>1.0</v>
      </c>
      <c r="H13" s="21">
        <v>1.0</v>
      </c>
      <c r="I13" s="19">
        <v>1.0</v>
      </c>
      <c r="J13" s="19">
        <v>1.0</v>
      </c>
      <c r="K13" s="20">
        <v>1.0</v>
      </c>
      <c r="M13" s="21">
        <v>1.0</v>
      </c>
      <c r="N13" s="19">
        <v>1.0</v>
      </c>
      <c r="O13" s="19">
        <v>1.0</v>
      </c>
      <c r="P13" s="20">
        <v>1.0</v>
      </c>
      <c r="R13" s="21">
        <v>1.0</v>
      </c>
      <c r="S13" s="19">
        <v>1.0</v>
      </c>
      <c r="T13" s="19">
        <v>1.0</v>
      </c>
      <c r="U13" s="20">
        <v>1.0</v>
      </c>
      <c r="W13" s="21">
        <v>1.0</v>
      </c>
      <c r="X13" s="19">
        <v>1.0</v>
      </c>
      <c r="Y13" s="19">
        <v>1.0</v>
      </c>
      <c r="Z13" s="20">
        <v>1.0</v>
      </c>
      <c r="AB13" s="21">
        <v>1.0</v>
      </c>
      <c r="AC13" s="19">
        <v>1.0</v>
      </c>
      <c r="AD13" s="19">
        <v>1.0</v>
      </c>
      <c r="AE13" s="20">
        <v>1.0</v>
      </c>
      <c r="AG13" s="21">
        <v>1.0</v>
      </c>
      <c r="AH13" s="19">
        <v>1.0</v>
      </c>
      <c r="AI13" s="19">
        <v>1.0</v>
      </c>
      <c r="AJ13" s="20">
        <v>1.0</v>
      </c>
      <c r="AL13" s="21">
        <v>1.0</v>
      </c>
      <c r="AM13" s="19">
        <v>1.0</v>
      </c>
      <c r="AN13" s="19">
        <v>1.0</v>
      </c>
      <c r="AO13" s="20">
        <v>1.0</v>
      </c>
      <c r="AQ13" s="21">
        <v>1.0</v>
      </c>
      <c r="AR13" s="19">
        <v>1.0</v>
      </c>
      <c r="AS13" s="19">
        <v>1.0</v>
      </c>
      <c r="AT13" s="20">
        <v>1.0</v>
      </c>
      <c r="AV13" s="21">
        <v>1.0</v>
      </c>
      <c r="AW13" s="19">
        <v>1.0</v>
      </c>
      <c r="AX13" s="19">
        <v>1.0</v>
      </c>
      <c r="AY13" s="20">
        <v>1.0</v>
      </c>
      <c r="BA13" s="21">
        <v>1.0</v>
      </c>
      <c r="BB13" s="19">
        <v>1.0</v>
      </c>
      <c r="BC13" s="19">
        <v>1.0</v>
      </c>
      <c r="BD13" s="20">
        <v>1.0</v>
      </c>
      <c r="BF13" s="21">
        <v>1.0</v>
      </c>
      <c r="BG13" s="19">
        <v>1.0</v>
      </c>
      <c r="BH13" s="19">
        <v>1.0</v>
      </c>
      <c r="BI13" s="20">
        <v>1.0</v>
      </c>
      <c r="BK13" s="21">
        <v>1.0</v>
      </c>
      <c r="BL13" s="19">
        <v>1.0</v>
      </c>
      <c r="BM13" s="19">
        <v>1.0</v>
      </c>
      <c r="BN13" s="20">
        <v>1.0</v>
      </c>
      <c r="BP13" s="21">
        <v>1.0</v>
      </c>
      <c r="BQ13" s="19">
        <v>1.0</v>
      </c>
      <c r="BR13" s="19">
        <v>1.0</v>
      </c>
      <c r="BS13" s="20">
        <v>1.0</v>
      </c>
      <c r="BU13" s="21">
        <v>1.0</v>
      </c>
      <c r="BV13" s="19">
        <v>1.0</v>
      </c>
      <c r="BW13" s="19">
        <v>1.0</v>
      </c>
      <c r="BX13" s="20">
        <v>1.0</v>
      </c>
      <c r="BZ13" s="21">
        <v>1.0</v>
      </c>
      <c r="CA13" s="19">
        <v>1.0</v>
      </c>
      <c r="CB13" s="19">
        <v>1.0</v>
      </c>
      <c r="CC13" s="20">
        <v>1.0</v>
      </c>
      <c r="CE13" s="21">
        <v>1.0</v>
      </c>
      <c r="CF13" s="19">
        <v>1.0</v>
      </c>
      <c r="CG13" s="19">
        <v>1.0</v>
      </c>
      <c r="CH13" s="20">
        <v>1.0</v>
      </c>
      <c r="CJ13" s="21">
        <v>1.0</v>
      </c>
      <c r="CK13" s="19">
        <v>1.0</v>
      </c>
      <c r="CL13" s="19">
        <v>1.0</v>
      </c>
      <c r="CM13" s="20">
        <v>1.0</v>
      </c>
      <c r="CO13" s="21">
        <v>1.0</v>
      </c>
      <c r="CP13" s="19">
        <v>1.0</v>
      </c>
      <c r="CQ13" s="19">
        <v>1.0</v>
      </c>
      <c r="CR13" s="20">
        <v>1.0</v>
      </c>
      <c r="CT13" s="21">
        <v>1.0</v>
      </c>
      <c r="CU13" s="19">
        <v>1.0</v>
      </c>
      <c r="CV13" s="19">
        <v>1.0</v>
      </c>
      <c r="CW13" s="20">
        <v>1.0</v>
      </c>
      <c r="CY13" s="21">
        <v>1.0</v>
      </c>
      <c r="CZ13" s="19">
        <v>1.0</v>
      </c>
      <c r="DA13" s="19">
        <v>1.0</v>
      </c>
      <c r="DB13" s="20">
        <v>1.0</v>
      </c>
      <c r="DD13" s="21">
        <v>1.0</v>
      </c>
      <c r="DE13" s="19">
        <v>1.0</v>
      </c>
      <c r="DF13" s="19">
        <v>1.0</v>
      </c>
      <c r="DG13" s="20">
        <v>1.0</v>
      </c>
      <c r="DI13" s="21">
        <v>1.0</v>
      </c>
      <c r="DJ13" s="19">
        <v>1.0</v>
      </c>
      <c r="DK13" s="19">
        <v>1.0</v>
      </c>
      <c r="DL13" s="20">
        <v>1.0</v>
      </c>
      <c r="DN13" s="21">
        <v>1.0</v>
      </c>
      <c r="DO13" s="19">
        <v>1.0</v>
      </c>
      <c r="DP13" s="19">
        <v>1.0</v>
      </c>
      <c r="DQ13" s="20">
        <v>1.0</v>
      </c>
      <c r="DS13" s="21">
        <v>1.0</v>
      </c>
      <c r="DT13" s="19">
        <v>1.0</v>
      </c>
      <c r="DU13" s="19">
        <v>1.0</v>
      </c>
      <c r="DV13" s="20">
        <v>1.0</v>
      </c>
      <c r="DX13" s="21">
        <v>1.0</v>
      </c>
      <c r="DY13" s="19">
        <v>1.0</v>
      </c>
      <c r="DZ13" s="19">
        <v>1.0</v>
      </c>
      <c r="EA13" s="20">
        <v>1.0</v>
      </c>
      <c r="EC13" s="21">
        <v>1.0</v>
      </c>
      <c r="ED13" s="19">
        <v>1.0</v>
      </c>
      <c r="EE13" s="19">
        <v>1.0</v>
      </c>
      <c r="EF13" s="20">
        <v>1.0</v>
      </c>
      <c r="EH13" s="21">
        <v>1.0</v>
      </c>
      <c r="EI13" s="19">
        <v>1.0</v>
      </c>
      <c r="EJ13" s="19">
        <v>1.0</v>
      </c>
      <c r="EK13" s="20">
        <v>1.0</v>
      </c>
      <c r="EM13" s="21">
        <v>1.0</v>
      </c>
      <c r="EN13" s="19">
        <v>1.0</v>
      </c>
      <c r="EO13" s="19">
        <v>1.0</v>
      </c>
      <c r="EP13" s="20">
        <v>1.0</v>
      </c>
      <c r="ER13" s="21">
        <v>1.0</v>
      </c>
      <c r="ES13" s="19">
        <v>1.0</v>
      </c>
      <c r="ET13" s="19">
        <v>1.0</v>
      </c>
      <c r="EU13" s="20">
        <v>1.0</v>
      </c>
      <c r="EW13" s="21">
        <v>1.0</v>
      </c>
      <c r="EX13" s="19">
        <v>1.0</v>
      </c>
      <c r="EY13" s="19">
        <v>1.0</v>
      </c>
      <c r="EZ13" s="20">
        <v>1.0</v>
      </c>
      <c r="FB13" s="21">
        <v>1.0</v>
      </c>
      <c r="FC13" s="19">
        <v>1.0</v>
      </c>
      <c r="FD13" s="19">
        <v>1.0</v>
      </c>
      <c r="FE13" s="20">
        <v>1.0</v>
      </c>
      <c r="FG13" s="21">
        <v>1.0</v>
      </c>
      <c r="FH13" s="19">
        <v>1.0</v>
      </c>
      <c r="FI13" s="19">
        <v>1.0</v>
      </c>
      <c r="FJ13" s="20">
        <v>1.0</v>
      </c>
      <c r="FL13" s="21">
        <v>1.0</v>
      </c>
      <c r="FM13" s="19">
        <v>1.0</v>
      </c>
      <c r="FN13" s="19">
        <v>1.0</v>
      </c>
      <c r="FO13" s="20">
        <v>1.0</v>
      </c>
      <c r="FQ13" s="21">
        <v>1.0</v>
      </c>
      <c r="FR13" s="19">
        <v>1.0</v>
      </c>
      <c r="FS13" s="19">
        <v>1.0</v>
      </c>
      <c r="FT13" s="20">
        <v>1.0</v>
      </c>
      <c r="FV13" s="21">
        <v>1.0</v>
      </c>
      <c r="FW13" s="19">
        <v>1.0</v>
      </c>
      <c r="FX13" s="19">
        <v>1.0</v>
      </c>
      <c r="FY13" s="20">
        <v>1.0</v>
      </c>
      <c r="GA13" s="21">
        <v>1.0</v>
      </c>
      <c r="GB13" s="19">
        <v>1.0</v>
      </c>
      <c r="GC13" s="19">
        <v>1.0</v>
      </c>
      <c r="GD13" s="20">
        <v>1.0</v>
      </c>
      <c r="GF13" s="21">
        <v>1.0</v>
      </c>
      <c r="GG13" s="19">
        <v>1.0</v>
      </c>
      <c r="GH13" s="19">
        <v>1.0</v>
      </c>
      <c r="GI13" s="20">
        <v>1.0</v>
      </c>
      <c r="GK13" s="21">
        <v>1.0</v>
      </c>
      <c r="GL13" s="19">
        <v>1.0</v>
      </c>
      <c r="GM13" s="19">
        <v>1.0</v>
      </c>
      <c r="GN13" s="20">
        <v>1.0</v>
      </c>
      <c r="GP13" s="21">
        <v>1.0</v>
      </c>
      <c r="GQ13" s="19">
        <v>1.0</v>
      </c>
      <c r="GR13" s="19">
        <v>1.0</v>
      </c>
      <c r="GS13" s="20">
        <v>1.0</v>
      </c>
      <c r="GU13" s="21">
        <v>1.0</v>
      </c>
      <c r="GV13" s="19">
        <v>1.0</v>
      </c>
      <c r="GW13" s="19">
        <v>1.0</v>
      </c>
      <c r="GX13" s="20">
        <v>1.0</v>
      </c>
      <c r="GZ13" s="21">
        <v>1.0</v>
      </c>
      <c r="HA13" s="19">
        <v>1.0</v>
      </c>
      <c r="HB13" s="19">
        <v>1.0</v>
      </c>
      <c r="HC13" s="20">
        <v>1.0</v>
      </c>
      <c r="HE13" s="21">
        <v>1.0</v>
      </c>
      <c r="HF13" s="19">
        <v>1.0</v>
      </c>
      <c r="HG13" s="19">
        <v>1.0</v>
      </c>
      <c r="HH13" s="20">
        <v>1.0</v>
      </c>
      <c r="HJ13" s="21">
        <v>1.0</v>
      </c>
      <c r="HK13" s="19">
        <v>1.0</v>
      </c>
      <c r="HL13" s="19">
        <v>1.0</v>
      </c>
      <c r="HM13" s="20">
        <v>1.0</v>
      </c>
      <c r="HO13" s="21">
        <v>1.0</v>
      </c>
      <c r="HP13" s="19">
        <v>1.0</v>
      </c>
      <c r="HQ13" s="19">
        <v>1.0</v>
      </c>
      <c r="HR13" s="20">
        <v>1.0</v>
      </c>
      <c r="HT13" s="21">
        <v>1.0</v>
      </c>
      <c r="HU13" s="19">
        <v>1.0</v>
      </c>
      <c r="HV13" s="19">
        <v>1.0</v>
      </c>
      <c r="HW13" s="20">
        <v>1.0</v>
      </c>
      <c r="HY13" s="21">
        <v>1.0</v>
      </c>
      <c r="HZ13" s="19">
        <v>1.0</v>
      </c>
      <c r="IA13" s="19">
        <v>1.0</v>
      </c>
      <c r="IB13" s="20">
        <v>1.0</v>
      </c>
      <c r="ID13" s="21">
        <v>1.0</v>
      </c>
      <c r="IE13" s="19">
        <v>1.0</v>
      </c>
      <c r="IF13" s="19">
        <v>1.0</v>
      </c>
      <c r="IG13" s="20">
        <v>1.0</v>
      </c>
      <c r="II13" s="21">
        <v>1.0</v>
      </c>
      <c r="IJ13" s="19">
        <v>1.0</v>
      </c>
      <c r="IK13" s="19">
        <v>1.0</v>
      </c>
      <c r="IL13" s="20">
        <v>1.0</v>
      </c>
      <c r="IN13" s="21">
        <v>1.0</v>
      </c>
      <c r="IO13" s="19">
        <v>1.0</v>
      </c>
      <c r="IP13" s="19">
        <v>1.0</v>
      </c>
      <c r="IQ13" s="20">
        <v>1.0</v>
      </c>
      <c r="IS13" s="21">
        <v>1.0</v>
      </c>
      <c r="IT13" s="19">
        <v>1.0</v>
      </c>
      <c r="IU13" s="19">
        <v>1.0</v>
      </c>
      <c r="IV13" s="20">
        <v>1.0</v>
      </c>
      <c r="IX13" s="21">
        <v>1.0</v>
      </c>
      <c r="IY13" s="19">
        <v>1.0</v>
      </c>
      <c r="IZ13" s="19">
        <v>1.0</v>
      </c>
      <c r="JA13" s="20">
        <v>1.0</v>
      </c>
      <c r="JC13" s="21">
        <v>1.0</v>
      </c>
      <c r="JD13" s="19">
        <v>1.0</v>
      </c>
      <c r="JE13" s="19">
        <v>1.0</v>
      </c>
      <c r="JF13" s="20">
        <v>1.0</v>
      </c>
      <c r="JH13" s="21">
        <v>1.0</v>
      </c>
      <c r="JI13" s="19">
        <v>1.0</v>
      </c>
      <c r="JJ13" s="19">
        <v>1.0</v>
      </c>
      <c r="JK13" s="20">
        <v>1.0</v>
      </c>
      <c r="JM13" s="21">
        <v>1.0</v>
      </c>
      <c r="JN13" s="19">
        <v>1.0</v>
      </c>
      <c r="JO13" s="19">
        <v>1.0</v>
      </c>
      <c r="JP13" s="20">
        <v>1.0</v>
      </c>
      <c r="JR13" s="21">
        <v>1.0</v>
      </c>
      <c r="JS13" s="19">
        <v>1.0</v>
      </c>
      <c r="JT13" s="19">
        <v>1.0</v>
      </c>
      <c r="JU13" s="20">
        <v>1.0</v>
      </c>
      <c r="JW13" s="21">
        <v>1.0</v>
      </c>
      <c r="JX13" s="19">
        <v>1.0</v>
      </c>
      <c r="JY13" s="19">
        <v>1.0</v>
      </c>
      <c r="JZ13" s="20">
        <v>1.0</v>
      </c>
      <c r="KB13" s="21">
        <v>1.0</v>
      </c>
      <c r="KC13" s="19">
        <v>1.0</v>
      </c>
      <c r="KD13" s="19">
        <v>1.0</v>
      </c>
      <c r="KE13" s="20">
        <v>1.0</v>
      </c>
      <c r="KG13" s="21">
        <v>1.0</v>
      </c>
      <c r="KH13" s="19">
        <v>1.0</v>
      </c>
      <c r="KI13" s="19">
        <v>1.0</v>
      </c>
      <c r="KJ13" s="20">
        <v>1.0</v>
      </c>
      <c r="KL13" s="21">
        <v>1.0</v>
      </c>
      <c r="KM13" s="19">
        <v>1.0</v>
      </c>
      <c r="KN13" s="19">
        <v>1.0</v>
      </c>
      <c r="KO13" s="20">
        <v>1.0</v>
      </c>
      <c r="KQ13" s="21">
        <v>1.0</v>
      </c>
      <c r="KR13" s="19">
        <v>1.0</v>
      </c>
      <c r="KS13" s="19">
        <v>1.0</v>
      </c>
      <c r="KT13" s="20">
        <v>1.0</v>
      </c>
      <c r="KV13" s="21">
        <v>1.0</v>
      </c>
      <c r="KW13" s="19">
        <v>1.0</v>
      </c>
      <c r="KX13" s="19">
        <v>1.0</v>
      </c>
      <c r="KY13" s="20">
        <v>1.0</v>
      </c>
      <c r="LA13" s="21">
        <v>1.0</v>
      </c>
      <c r="LB13" s="19">
        <v>1.0</v>
      </c>
      <c r="LC13" s="19">
        <v>1.0</v>
      </c>
      <c r="LD13" s="20">
        <v>1.0</v>
      </c>
      <c r="LF13" s="21">
        <v>1.0</v>
      </c>
      <c r="LG13" s="19">
        <v>1.0</v>
      </c>
      <c r="LH13" s="19">
        <v>1.0</v>
      </c>
      <c r="LI13" s="20">
        <v>1.0</v>
      </c>
      <c r="LK13" s="21">
        <v>1.0</v>
      </c>
      <c r="LL13" s="19">
        <v>1.0</v>
      </c>
      <c r="LM13" s="19">
        <v>1.0</v>
      </c>
      <c r="LN13" s="20">
        <v>1.0</v>
      </c>
      <c r="LP13" s="21">
        <v>1.0</v>
      </c>
      <c r="LQ13" s="19">
        <v>1.0</v>
      </c>
      <c r="LR13" s="19">
        <v>1.0</v>
      </c>
      <c r="LS13" s="20">
        <v>1.0</v>
      </c>
      <c r="LU13" s="21">
        <v>1.0</v>
      </c>
      <c r="LV13" s="19">
        <v>1.0</v>
      </c>
      <c r="LW13" s="19">
        <v>1.0</v>
      </c>
      <c r="LX13" s="20">
        <v>1.0</v>
      </c>
      <c r="LZ13" s="21">
        <v>1.0</v>
      </c>
      <c r="MA13" s="19">
        <v>1.0</v>
      </c>
      <c r="MB13" s="19">
        <v>1.0</v>
      </c>
      <c r="MC13" s="20">
        <v>1.0</v>
      </c>
      <c r="ME13" s="21">
        <v>1.0</v>
      </c>
      <c r="MF13" s="19">
        <v>1.0</v>
      </c>
      <c r="MG13" s="19">
        <v>1.0</v>
      </c>
      <c r="MH13" s="20">
        <v>1.0</v>
      </c>
      <c r="MJ13" s="21">
        <v>1.0</v>
      </c>
      <c r="MK13" s="19">
        <v>1.0</v>
      </c>
      <c r="ML13" s="19">
        <v>1.0</v>
      </c>
      <c r="MM13" s="20">
        <v>1.0</v>
      </c>
      <c r="MO13" s="21">
        <v>1.0</v>
      </c>
      <c r="MP13" s="19">
        <v>1.0</v>
      </c>
      <c r="MQ13" s="19">
        <v>1.0</v>
      </c>
      <c r="MR13" s="20">
        <v>1.0</v>
      </c>
      <c r="MT13" s="21">
        <v>1.0</v>
      </c>
      <c r="MU13" s="19">
        <v>1.0</v>
      </c>
      <c r="MV13" s="19">
        <v>1.0</v>
      </c>
      <c r="MW13" s="20">
        <v>1.0</v>
      </c>
      <c r="MY13" s="21">
        <v>1.0</v>
      </c>
      <c r="MZ13" s="19">
        <v>1.0</v>
      </c>
      <c r="NA13" s="19">
        <v>1.0</v>
      </c>
      <c r="NB13" s="20">
        <v>1.0</v>
      </c>
      <c r="ND13" s="21">
        <v>1.0</v>
      </c>
      <c r="NE13" s="19">
        <v>1.0</v>
      </c>
      <c r="NF13" s="19">
        <v>1.0</v>
      </c>
      <c r="NG13" s="20">
        <v>1.0</v>
      </c>
      <c r="NI13" s="21">
        <v>1.0</v>
      </c>
      <c r="NJ13" s="19">
        <v>1.0</v>
      </c>
      <c r="NK13" s="19">
        <v>1.0</v>
      </c>
      <c r="NL13" s="20">
        <v>1.0</v>
      </c>
      <c r="NN13" s="21">
        <v>1.0</v>
      </c>
      <c r="NO13" s="19">
        <v>1.0</v>
      </c>
      <c r="NP13" s="19">
        <v>1.0</v>
      </c>
      <c r="NQ13" s="20">
        <v>1.0</v>
      </c>
      <c r="NS13" s="21">
        <v>1.0</v>
      </c>
      <c r="NT13" s="19">
        <v>1.0</v>
      </c>
      <c r="NU13" s="19">
        <v>1.0</v>
      </c>
      <c r="NV13" s="20">
        <v>1.0</v>
      </c>
      <c r="NX13" s="21">
        <v>1.0</v>
      </c>
      <c r="NY13" s="19">
        <v>1.0</v>
      </c>
      <c r="NZ13" s="19">
        <v>1.0</v>
      </c>
      <c r="OA13" s="20">
        <v>1.0</v>
      </c>
      <c r="OC13" s="21">
        <v>1.0</v>
      </c>
      <c r="OD13" s="19">
        <v>1.0</v>
      </c>
      <c r="OE13" s="19">
        <v>1.0</v>
      </c>
      <c r="OF13" s="20">
        <v>1.0</v>
      </c>
      <c r="OH13" s="21">
        <v>1.0</v>
      </c>
      <c r="OI13" s="19">
        <v>1.0</v>
      </c>
      <c r="OJ13" s="19">
        <v>1.0</v>
      </c>
      <c r="OK13" s="20">
        <v>1.0</v>
      </c>
      <c r="OM13" s="21">
        <v>1.0</v>
      </c>
      <c r="ON13" s="19">
        <v>1.0</v>
      </c>
      <c r="OO13" s="19">
        <v>1.0</v>
      </c>
      <c r="OP13" s="20">
        <v>1.0</v>
      </c>
      <c r="OR13" s="21">
        <v>1.0</v>
      </c>
      <c r="OS13" s="19">
        <v>1.0</v>
      </c>
      <c r="OT13" s="19">
        <v>1.0</v>
      </c>
      <c r="OU13" s="20">
        <v>1.0</v>
      </c>
      <c r="OW13" s="21">
        <v>1.0</v>
      </c>
      <c r="OX13" s="19">
        <v>1.0</v>
      </c>
      <c r="OY13" s="19">
        <v>1.0</v>
      </c>
      <c r="OZ13" s="20">
        <v>1.0</v>
      </c>
      <c r="PB13" s="21">
        <v>1.0</v>
      </c>
      <c r="PC13" s="19">
        <v>1.0</v>
      </c>
      <c r="PD13" s="19">
        <v>1.0</v>
      </c>
      <c r="PE13" s="20">
        <v>1.0</v>
      </c>
      <c r="PG13" s="21">
        <v>1.0</v>
      </c>
      <c r="PH13" s="19">
        <v>1.0</v>
      </c>
      <c r="PI13" s="19">
        <v>1.0</v>
      </c>
      <c r="PJ13" s="20">
        <v>1.0</v>
      </c>
      <c r="PL13" s="21">
        <v>1.0</v>
      </c>
      <c r="PM13" s="19">
        <v>1.0</v>
      </c>
      <c r="PN13" s="19">
        <v>1.0</v>
      </c>
      <c r="PO13" s="20">
        <v>1.0</v>
      </c>
      <c r="PQ13" s="21">
        <v>1.0</v>
      </c>
      <c r="PR13" s="19">
        <v>1.0</v>
      </c>
      <c r="PS13" s="19">
        <v>1.0</v>
      </c>
      <c r="PT13" s="20">
        <v>1.0</v>
      </c>
      <c r="PV13" s="21">
        <v>1.0</v>
      </c>
      <c r="PW13" s="19">
        <v>1.0</v>
      </c>
      <c r="PX13" s="19">
        <v>1.0</v>
      </c>
      <c r="PY13" s="20">
        <v>1.0</v>
      </c>
      <c r="QA13" s="21">
        <v>1.0</v>
      </c>
      <c r="QB13" s="19">
        <v>1.0</v>
      </c>
      <c r="QC13" s="19">
        <v>1.0</v>
      </c>
      <c r="QD13" s="20">
        <v>1.0</v>
      </c>
      <c r="QF13" s="21">
        <v>1.0</v>
      </c>
      <c r="QG13" s="19">
        <v>1.0</v>
      </c>
      <c r="QH13" s="19">
        <v>1.0</v>
      </c>
      <c r="QI13" s="20">
        <v>1.0</v>
      </c>
      <c r="QK13" s="21">
        <v>1.0</v>
      </c>
      <c r="QL13" s="19">
        <v>1.0</v>
      </c>
      <c r="QM13" s="19">
        <v>1.0</v>
      </c>
      <c r="QN13" s="20">
        <v>1.0</v>
      </c>
      <c r="QP13" s="21">
        <v>1.0</v>
      </c>
      <c r="QQ13" s="19">
        <v>1.0</v>
      </c>
      <c r="QR13" s="19">
        <v>1.0</v>
      </c>
      <c r="QS13" s="20">
        <v>1.0</v>
      </c>
      <c r="QU13" s="21">
        <v>1.0</v>
      </c>
      <c r="QV13" s="19">
        <v>1.0</v>
      </c>
      <c r="QW13" s="19">
        <v>1.0</v>
      </c>
      <c r="QX13" s="20">
        <v>1.0</v>
      </c>
      <c r="QZ13" s="21">
        <v>1.0</v>
      </c>
      <c r="RA13" s="19">
        <v>1.0</v>
      </c>
      <c r="RB13" s="19">
        <v>1.0</v>
      </c>
      <c r="RC13" s="20">
        <v>1.0</v>
      </c>
      <c r="RE13" s="21">
        <v>1.0</v>
      </c>
      <c r="RF13" s="19">
        <v>1.0</v>
      </c>
      <c r="RG13" s="19">
        <v>1.0</v>
      </c>
      <c r="RH13" s="20">
        <v>1.0</v>
      </c>
      <c r="RJ13" s="21">
        <v>1.0</v>
      </c>
      <c r="RK13" s="19">
        <v>1.0</v>
      </c>
      <c r="RL13" s="19">
        <v>1.0</v>
      </c>
      <c r="RM13" s="20">
        <v>1.0</v>
      </c>
      <c r="RO13" s="21">
        <v>1.0</v>
      </c>
      <c r="RP13" s="19">
        <v>1.0</v>
      </c>
      <c r="RQ13" s="19">
        <v>1.0</v>
      </c>
      <c r="RR13" s="20">
        <v>1.0</v>
      </c>
      <c r="RT13" s="21">
        <v>1.0</v>
      </c>
      <c r="RU13" s="19">
        <v>1.0</v>
      </c>
      <c r="RV13" s="19">
        <v>1.0</v>
      </c>
      <c r="RW13" s="20">
        <v>1.0</v>
      </c>
      <c r="RY13" s="21">
        <v>1.0</v>
      </c>
      <c r="RZ13" s="19">
        <v>1.0</v>
      </c>
      <c r="SA13" s="19">
        <v>1.0</v>
      </c>
      <c r="SB13" s="20">
        <v>1.0</v>
      </c>
      <c r="SD13" s="21">
        <v>1.0</v>
      </c>
      <c r="SE13" s="19">
        <v>1.0</v>
      </c>
      <c r="SF13" s="19">
        <v>1.0</v>
      </c>
      <c r="SG13" s="20">
        <v>1.0</v>
      </c>
      <c r="SI13" s="21">
        <v>1.0</v>
      </c>
      <c r="SJ13" s="19">
        <v>1.0</v>
      </c>
      <c r="SK13" s="19">
        <v>1.0</v>
      </c>
      <c r="SL13" s="20">
        <v>1.0</v>
      </c>
      <c r="SN13" s="21">
        <v>1.0</v>
      </c>
      <c r="SO13" s="19">
        <v>1.0</v>
      </c>
      <c r="SP13" s="19">
        <v>1.0</v>
      </c>
      <c r="SQ13" s="20">
        <v>1.0</v>
      </c>
      <c r="SS13" s="21">
        <v>1.0</v>
      </c>
      <c r="ST13" s="19">
        <v>1.0</v>
      </c>
      <c r="SU13" s="19">
        <v>1.0</v>
      </c>
      <c r="SV13" s="20">
        <v>1.0</v>
      </c>
      <c r="SX13" s="21">
        <v>1.0</v>
      </c>
      <c r="SY13" s="19">
        <v>1.0</v>
      </c>
      <c r="SZ13" s="19">
        <v>1.0</v>
      </c>
      <c r="TA13" s="20">
        <v>1.0</v>
      </c>
      <c r="TC13" s="21">
        <v>1.0</v>
      </c>
      <c r="TD13" s="19">
        <v>1.0</v>
      </c>
      <c r="TE13" s="19">
        <v>1.0</v>
      </c>
      <c r="TF13" s="20">
        <v>1.0</v>
      </c>
      <c r="TH13" s="21">
        <v>1.0</v>
      </c>
      <c r="TI13" s="19">
        <v>1.0</v>
      </c>
      <c r="TJ13" s="19">
        <v>1.0</v>
      </c>
      <c r="TK13" s="20">
        <v>1.0</v>
      </c>
      <c r="TM13" s="21">
        <v>1.0</v>
      </c>
      <c r="TN13" s="19">
        <v>1.0</v>
      </c>
      <c r="TO13" s="19">
        <v>1.0</v>
      </c>
      <c r="TP13" s="20">
        <v>1.0</v>
      </c>
      <c r="TR13" s="21">
        <v>1.0</v>
      </c>
      <c r="TS13" s="19">
        <v>1.0</v>
      </c>
      <c r="TT13" s="19">
        <v>1.0</v>
      </c>
      <c r="TU13" s="20">
        <v>1.0</v>
      </c>
      <c r="TW13" s="21">
        <v>1.0</v>
      </c>
      <c r="TX13" s="19">
        <v>1.0</v>
      </c>
      <c r="TY13" s="19">
        <v>1.0</v>
      </c>
      <c r="TZ13" s="20">
        <v>1.0</v>
      </c>
      <c r="UB13" s="21">
        <v>1.0</v>
      </c>
      <c r="UC13" s="19">
        <v>1.0</v>
      </c>
      <c r="UD13" s="19">
        <v>1.0</v>
      </c>
      <c r="UE13" s="20">
        <v>1.0</v>
      </c>
      <c r="UG13" s="21">
        <v>1.0</v>
      </c>
      <c r="UH13" s="19">
        <v>1.0</v>
      </c>
      <c r="UI13" s="19">
        <v>1.0</v>
      </c>
      <c r="UJ13" s="20">
        <v>1.0</v>
      </c>
      <c r="UL13" s="21">
        <v>1.0</v>
      </c>
      <c r="UM13" s="19">
        <v>1.0</v>
      </c>
      <c r="UN13" s="19">
        <v>1.0</v>
      </c>
      <c r="UO13" s="20">
        <v>1.0</v>
      </c>
      <c r="UQ13" s="21">
        <v>1.0</v>
      </c>
      <c r="UR13" s="19">
        <v>1.0</v>
      </c>
      <c r="US13" s="19">
        <v>1.0</v>
      </c>
      <c r="UT13" s="20">
        <v>1.0</v>
      </c>
      <c r="UV13" s="21">
        <v>1.0</v>
      </c>
      <c r="UW13" s="19">
        <v>1.0</v>
      </c>
      <c r="UX13" s="19">
        <v>1.0</v>
      </c>
      <c r="UY13" s="20">
        <v>1.0</v>
      </c>
      <c r="VA13" s="21">
        <v>1.0</v>
      </c>
      <c r="VB13" s="19">
        <v>1.0</v>
      </c>
      <c r="VC13" s="19">
        <v>1.0</v>
      </c>
      <c r="VD13" s="20">
        <v>1.0</v>
      </c>
      <c r="VF13" s="21">
        <v>1.0</v>
      </c>
      <c r="VG13" s="19">
        <v>1.0</v>
      </c>
      <c r="VH13" s="19">
        <v>1.0</v>
      </c>
      <c r="VI13" s="20">
        <v>1.0</v>
      </c>
      <c r="VK13" s="21">
        <v>1.0</v>
      </c>
      <c r="VL13" s="19">
        <v>1.0</v>
      </c>
      <c r="VM13" s="19">
        <v>1.0</v>
      </c>
      <c r="VN13" s="20">
        <v>1.0</v>
      </c>
      <c r="VP13" s="21">
        <v>1.0</v>
      </c>
      <c r="VQ13" s="19">
        <v>1.0</v>
      </c>
      <c r="VR13" s="19">
        <v>1.0</v>
      </c>
      <c r="VS13" s="20">
        <v>1.0</v>
      </c>
      <c r="VU13" s="21">
        <v>1.0</v>
      </c>
      <c r="VV13" s="19">
        <v>1.0</v>
      </c>
      <c r="VW13" s="19">
        <v>1.0</v>
      </c>
      <c r="VX13" s="20">
        <v>1.0</v>
      </c>
      <c r="VZ13" s="21">
        <v>1.0</v>
      </c>
      <c r="WA13" s="19">
        <v>1.0</v>
      </c>
      <c r="WB13" s="19">
        <v>1.0</v>
      </c>
      <c r="WC13" s="20">
        <v>1.0</v>
      </c>
      <c r="WE13" s="21">
        <v>1.0</v>
      </c>
      <c r="WF13" s="19">
        <v>1.0</v>
      </c>
      <c r="WG13" s="19">
        <v>1.0</v>
      </c>
      <c r="WH13" s="20">
        <v>1.0</v>
      </c>
      <c r="WJ13" s="21">
        <v>1.0</v>
      </c>
      <c r="WK13" s="19">
        <v>1.0</v>
      </c>
      <c r="WL13" s="19">
        <v>1.0</v>
      </c>
      <c r="WM13" s="20">
        <v>1.0</v>
      </c>
      <c r="WO13" s="21">
        <v>1.0</v>
      </c>
      <c r="WP13" s="19">
        <v>1.0</v>
      </c>
      <c r="WQ13" s="19">
        <v>1.0</v>
      </c>
      <c r="WR13" s="20">
        <v>1.0</v>
      </c>
      <c r="WT13" s="21">
        <v>1.0</v>
      </c>
      <c r="WU13" s="19">
        <v>1.0</v>
      </c>
      <c r="WV13" s="19">
        <v>1.0</v>
      </c>
      <c r="WW13" s="20">
        <v>1.0</v>
      </c>
      <c r="WY13" s="21">
        <v>1.0</v>
      </c>
      <c r="WZ13" s="19">
        <v>1.0</v>
      </c>
      <c r="XA13" s="19">
        <v>1.0</v>
      </c>
      <c r="XB13" s="20">
        <v>1.0</v>
      </c>
      <c r="XD13" s="21">
        <v>1.0</v>
      </c>
      <c r="XE13" s="19">
        <v>1.0</v>
      </c>
      <c r="XF13" s="19">
        <v>1.0</v>
      </c>
      <c r="XG13" s="20">
        <v>1.0</v>
      </c>
      <c r="XI13" s="21">
        <v>1.0</v>
      </c>
      <c r="XJ13" s="19">
        <v>1.0</v>
      </c>
      <c r="XK13" s="19">
        <v>1.0</v>
      </c>
      <c r="XL13" s="20">
        <v>1.0</v>
      </c>
      <c r="XN13" s="21">
        <v>1.0</v>
      </c>
      <c r="XO13" s="19">
        <v>1.0</v>
      </c>
      <c r="XP13" s="19">
        <v>1.0</v>
      </c>
      <c r="XQ13" s="20">
        <v>1.0</v>
      </c>
      <c r="XS13" s="21">
        <v>1.0</v>
      </c>
      <c r="XT13" s="19">
        <v>1.0</v>
      </c>
      <c r="XU13" s="19">
        <v>1.0</v>
      </c>
      <c r="XV13" s="20">
        <v>1.0</v>
      </c>
      <c r="XX13" s="21">
        <v>1.0</v>
      </c>
      <c r="XY13" s="19">
        <v>1.0</v>
      </c>
      <c r="XZ13" s="19">
        <v>1.0</v>
      </c>
      <c r="YA13" s="20">
        <v>1.0</v>
      </c>
      <c r="YC13" s="21">
        <v>1.0</v>
      </c>
      <c r="YD13" s="19">
        <v>1.0</v>
      </c>
      <c r="YE13" s="19">
        <v>1.0</v>
      </c>
      <c r="YF13" s="20">
        <v>1.0</v>
      </c>
      <c r="YH13" s="21">
        <v>1.0</v>
      </c>
      <c r="YI13" s="19">
        <v>1.0</v>
      </c>
      <c r="YJ13" s="19">
        <v>1.0</v>
      </c>
      <c r="YK13" s="20">
        <v>1.0</v>
      </c>
      <c r="YM13" s="21">
        <v>1.0</v>
      </c>
      <c r="YN13" s="19">
        <v>1.0</v>
      </c>
      <c r="YO13" s="19">
        <v>1.0</v>
      </c>
      <c r="YP13" s="20">
        <v>1.0</v>
      </c>
      <c r="YR13" s="21">
        <v>1.0</v>
      </c>
      <c r="YS13" s="19">
        <v>1.0</v>
      </c>
      <c r="YT13" s="19">
        <v>1.0</v>
      </c>
      <c r="YU13" s="20">
        <v>1.0</v>
      </c>
      <c r="YW13" s="21">
        <v>1.0</v>
      </c>
      <c r="YX13" s="19">
        <v>1.0</v>
      </c>
      <c r="YY13" s="19">
        <v>1.0</v>
      </c>
      <c r="YZ13" s="20">
        <v>1.0</v>
      </c>
      <c r="ZB13" s="21">
        <v>1.0</v>
      </c>
      <c r="ZC13" s="19">
        <v>1.0</v>
      </c>
      <c r="ZD13" s="19">
        <v>1.0</v>
      </c>
      <c r="ZE13" s="20">
        <v>1.0</v>
      </c>
      <c r="ZG13" s="21">
        <v>1.0</v>
      </c>
      <c r="ZH13" s="19">
        <v>1.0</v>
      </c>
      <c r="ZI13" s="19">
        <v>1.0</v>
      </c>
      <c r="ZJ13" s="20">
        <v>1.0</v>
      </c>
      <c r="ZL13" s="21">
        <v>1.0</v>
      </c>
      <c r="ZM13" s="19">
        <v>1.0</v>
      </c>
      <c r="ZN13" s="19">
        <v>1.0</v>
      </c>
      <c r="ZO13" s="20">
        <v>1.0</v>
      </c>
      <c r="ZQ13" s="21">
        <v>1.0</v>
      </c>
      <c r="ZR13" s="19">
        <v>1.0</v>
      </c>
      <c r="ZS13" s="19">
        <v>1.0</v>
      </c>
      <c r="ZT13" s="20">
        <v>1.0</v>
      </c>
      <c r="ZV13" s="21">
        <v>1.0</v>
      </c>
      <c r="ZW13" s="19">
        <v>1.0</v>
      </c>
      <c r="ZX13" s="19">
        <v>1.0</v>
      </c>
      <c r="ZY13" s="20">
        <v>1.0</v>
      </c>
      <c r="AAA13" s="21">
        <v>1.0</v>
      </c>
      <c r="AAB13" s="19">
        <v>1.0</v>
      </c>
      <c r="AAC13" s="19">
        <v>1.0</v>
      </c>
      <c r="AAD13" s="20">
        <v>1.0</v>
      </c>
      <c r="AAF13" s="21">
        <v>1.0</v>
      </c>
      <c r="AAG13" s="19">
        <v>1.0</v>
      </c>
      <c r="AAH13" s="19">
        <v>1.0</v>
      </c>
      <c r="AAI13" s="20">
        <v>1.0</v>
      </c>
      <c r="AAK13" s="21">
        <v>1.0</v>
      </c>
      <c r="AAL13" s="19">
        <v>1.0</v>
      </c>
      <c r="AAM13" s="19">
        <v>1.0</v>
      </c>
      <c r="AAN13" s="20">
        <v>1.0</v>
      </c>
      <c r="AAP13" s="21">
        <v>1.0</v>
      </c>
      <c r="AAQ13" s="19">
        <v>1.0</v>
      </c>
      <c r="AAR13" s="19">
        <v>1.0</v>
      </c>
      <c r="AAS13" s="20">
        <v>1.0</v>
      </c>
      <c r="AAU13" s="21">
        <v>1.0</v>
      </c>
      <c r="AAV13" s="19">
        <v>1.0</v>
      </c>
      <c r="AAW13" s="19">
        <v>1.0</v>
      </c>
      <c r="AAX13" s="20">
        <v>1.0</v>
      </c>
      <c r="AAZ13" s="21">
        <v>1.0</v>
      </c>
      <c r="ABA13" s="19">
        <v>1.0</v>
      </c>
      <c r="ABB13" s="19">
        <v>1.0</v>
      </c>
      <c r="ABC13" s="20">
        <v>1.0</v>
      </c>
      <c r="ABE13" s="21">
        <v>1.0</v>
      </c>
      <c r="ABF13" s="19">
        <v>1.0</v>
      </c>
      <c r="ABG13" s="19">
        <v>1.0</v>
      </c>
      <c r="ABH13" s="20">
        <v>1.0</v>
      </c>
      <c r="ABJ13" s="21">
        <v>1.0</v>
      </c>
      <c r="ABK13" s="19">
        <v>1.0</v>
      </c>
      <c r="ABL13" s="19">
        <v>1.0</v>
      </c>
      <c r="ABM13" s="20">
        <v>1.0</v>
      </c>
      <c r="ABO13" s="21">
        <v>1.0</v>
      </c>
      <c r="ABP13" s="19">
        <v>1.0</v>
      </c>
      <c r="ABQ13" s="19">
        <v>1.0</v>
      </c>
      <c r="ABR13" s="20">
        <v>1.0</v>
      </c>
      <c r="ABT13" s="21">
        <v>1.0</v>
      </c>
      <c r="ABU13" s="19">
        <v>1.0</v>
      </c>
      <c r="ABV13" s="19">
        <v>1.0</v>
      </c>
      <c r="ABW13" s="20">
        <v>1.0</v>
      </c>
      <c r="ABY13" s="21">
        <v>1.0</v>
      </c>
      <c r="ABZ13" s="19">
        <v>1.0</v>
      </c>
      <c r="ACA13" s="19">
        <v>1.0</v>
      </c>
      <c r="ACB13" s="20">
        <v>1.0</v>
      </c>
      <c r="ACD13" s="21">
        <v>1.0</v>
      </c>
      <c r="ACE13" s="19">
        <v>1.0</v>
      </c>
      <c r="ACF13" s="19">
        <v>1.0</v>
      </c>
      <c r="ACG13" s="20">
        <v>1.0</v>
      </c>
      <c r="ACI13" s="21">
        <v>1.0</v>
      </c>
      <c r="ACJ13" s="19">
        <v>1.0</v>
      </c>
      <c r="ACK13" s="19">
        <v>1.0</v>
      </c>
      <c r="ACL13" s="20">
        <v>1.0</v>
      </c>
      <c r="ACN13" s="21">
        <v>1.0</v>
      </c>
      <c r="ACO13" s="19">
        <v>1.0</v>
      </c>
      <c r="ACP13" s="19">
        <v>1.0</v>
      </c>
      <c r="ACQ13" s="20">
        <v>1.0</v>
      </c>
      <c r="ACS13" s="21">
        <v>1.0</v>
      </c>
      <c r="ACT13" s="19">
        <v>1.0</v>
      </c>
      <c r="ACU13" s="19">
        <v>1.0</v>
      </c>
      <c r="ACV13" s="20">
        <v>1.0</v>
      </c>
      <c r="ACX13" s="21">
        <v>1.0</v>
      </c>
      <c r="ACY13" s="19">
        <v>0.0</v>
      </c>
      <c r="ACZ13" s="19">
        <v>1.0</v>
      </c>
      <c r="ADA13" s="20">
        <v>1.0</v>
      </c>
      <c r="ADC13" s="21">
        <v>1.0</v>
      </c>
      <c r="ADD13" s="19">
        <v>1.0</v>
      </c>
      <c r="ADE13" s="19">
        <v>1.0</v>
      </c>
      <c r="ADF13" s="20">
        <v>1.0</v>
      </c>
      <c r="ADH13" s="21">
        <v>1.0</v>
      </c>
      <c r="ADI13" s="19">
        <v>1.0</v>
      </c>
      <c r="ADJ13" s="19">
        <v>1.0</v>
      </c>
      <c r="ADK13" s="20">
        <v>1.0</v>
      </c>
      <c r="ADM13" s="21">
        <v>1.0</v>
      </c>
      <c r="ADN13" s="19">
        <v>1.0</v>
      </c>
      <c r="ADO13" s="19">
        <v>1.0</v>
      </c>
      <c r="ADP13" s="20">
        <v>1.0</v>
      </c>
      <c r="ADR13" s="21">
        <v>1.0</v>
      </c>
      <c r="ADS13" s="19">
        <v>1.0</v>
      </c>
      <c r="ADT13" s="19">
        <v>1.0</v>
      </c>
      <c r="ADU13" s="20">
        <v>1.0</v>
      </c>
      <c r="ADW13" s="21">
        <v>1.0</v>
      </c>
      <c r="ADX13" s="19">
        <v>1.0</v>
      </c>
      <c r="ADY13" s="19">
        <v>1.0</v>
      </c>
      <c r="ADZ13" s="20">
        <v>1.0</v>
      </c>
      <c r="AEB13" s="21">
        <v>1.0</v>
      </c>
      <c r="AEC13" s="19">
        <v>1.0</v>
      </c>
      <c r="AED13" s="19">
        <v>1.0</v>
      </c>
      <c r="AEE13" s="20">
        <v>1.0</v>
      </c>
      <c r="AEG13" s="21">
        <v>1.0</v>
      </c>
      <c r="AEH13" s="19">
        <v>1.0</v>
      </c>
      <c r="AEI13" s="19">
        <v>1.0</v>
      </c>
      <c r="AEJ13" s="20">
        <v>1.0</v>
      </c>
      <c r="AEL13" s="21">
        <v>1.0</v>
      </c>
      <c r="AEM13" s="19">
        <v>1.0</v>
      </c>
      <c r="AEN13" s="19">
        <v>1.0</v>
      </c>
      <c r="AEO13" s="20">
        <v>1.0</v>
      </c>
      <c r="AEQ13" s="21">
        <v>1.0</v>
      </c>
      <c r="AER13" s="19">
        <v>1.0</v>
      </c>
      <c r="AES13" s="19">
        <v>1.0</v>
      </c>
      <c r="AET13" s="20">
        <v>1.0</v>
      </c>
      <c r="AEV13" s="21">
        <v>1.0</v>
      </c>
      <c r="AEW13" s="19">
        <v>1.0</v>
      </c>
      <c r="AEX13" s="19">
        <v>1.0</v>
      </c>
      <c r="AEY13" s="20">
        <v>1.0</v>
      </c>
      <c r="AFA13" s="21">
        <v>1.0</v>
      </c>
      <c r="AFB13" s="19">
        <v>1.0</v>
      </c>
      <c r="AFC13" s="19">
        <v>1.0</v>
      </c>
      <c r="AFD13" s="20">
        <v>1.0</v>
      </c>
      <c r="AFF13" s="21">
        <v>1.0</v>
      </c>
      <c r="AFG13" s="19">
        <v>1.0</v>
      </c>
      <c r="AFH13" s="19">
        <v>1.0</v>
      </c>
      <c r="AFI13" s="20">
        <v>1.0</v>
      </c>
      <c r="AFK13" s="21">
        <v>1.0</v>
      </c>
      <c r="AFL13" s="19">
        <v>1.0</v>
      </c>
      <c r="AFM13" s="19">
        <v>1.0</v>
      </c>
      <c r="AFN13" s="20">
        <v>1.0</v>
      </c>
      <c r="AFP13" s="21">
        <v>1.0</v>
      </c>
      <c r="AFQ13" s="19">
        <v>1.0</v>
      </c>
      <c r="AFR13" s="19">
        <v>1.0</v>
      </c>
      <c r="AFS13" s="20">
        <v>1.0</v>
      </c>
      <c r="AFU13" s="21">
        <v>1.0</v>
      </c>
      <c r="AFV13" s="19">
        <v>1.0</v>
      </c>
      <c r="AFW13" s="19">
        <v>1.0</v>
      </c>
      <c r="AFX13" s="20">
        <v>1.0</v>
      </c>
      <c r="AFZ13" s="21">
        <v>1.0</v>
      </c>
      <c r="AGA13" s="19">
        <v>1.0</v>
      </c>
      <c r="AGB13" s="19">
        <v>1.0</v>
      </c>
      <c r="AGC13" s="20">
        <v>1.0</v>
      </c>
      <c r="AGE13" s="21">
        <v>1.0</v>
      </c>
      <c r="AGF13" s="19">
        <v>1.0</v>
      </c>
      <c r="AGG13" s="19">
        <v>1.0</v>
      </c>
      <c r="AGH13" s="20">
        <v>1.0</v>
      </c>
      <c r="AGJ13" s="21">
        <v>1.0</v>
      </c>
      <c r="AGK13" s="19">
        <v>1.0</v>
      </c>
      <c r="AGL13" s="19">
        <v>1.0</v>
      </c>
      <c r="AGM13" s="20">
        <v>1.0</v>
      </c>
      <c r="AGO13" s="21">
        <v>1.0</v>
      </c>
      <c r="AGP13" s="19">
        <v>1.0</v>
      </c>
      <c r="AGQ13" s="19">
        <v>1.0</v>
      </c>
      <c r="AGR13" s="20">
        <v>1.0</v>
      </c>
      <c r="AGT13" s="21">
        <v>1.0</v>
      </c>
      <c r="AGU13" s="19">
        <v>1.0</v>
      </c>
      <c r="AGV13" s="19">
        <v>1.0</v>
      </c>
      <c r="AGW13" s="20">
        <v>1.0</v>
      </c>
      <c r="AGY13" s="21">
        <v>1.0</v>
      </c>
      <c r="AGZ13" s="19">
        <v>1.0</v>
      </c>
      <c r="AHA13" s="19">
        <v>1.0</v>
      </c>
      <c r="AHB13" s="20">
        <v>1.0</v>
      </c>
      <c r="AHD13" s="21">
        <v>1.0</v>
      </c>
      <c r="AHE13" s="19">
        <v>1.0</v>
      </c>
      <c r="AHF13" s="19">
        <v>1.0</v>
      </c>
      <c r="AHG13" s="20">
        <v>1.0</v>
      </c>
      <c r="AHI13" s="21">
        <v>1.0</v>
      </c>
      <c r="AHJ13" s="19">
        <v>1.0</v>
      </c>
      <c r="AHK13" s="19">
        <v>1.0</v>
      </c>
      <c r="AHL13" s="20">
        <v>1.0</v>
      </c>
      <c r="AHN13" s="21">
        <v>1.0</v>
      </c>
      <c r="AHO13" s="19">
        <v>1.0</v>
      </c>
      <c r="AHP13" s="19">
        <v>1.0</v>
      </c>
      <c r="AHQ13" s="20">
        <v>1.0</v>
      </c>
      <c r="AHS13" s="21">
        <v>1.0</v>
      </c>
      <c r="AHT13" s="19">
        <v>1.0</v>
      </c>
      <c r="AHU13" s="19">
        <v>1.0</v>
      </c>
      <c r="AHV13" s="20">
        <v>1.0</v>
      </c>
      <c r="AHX13" s="21">
        <v>1.0</v>
      </c>
      <c r="AHY13" s="19">
        <v>1.0</v>
      </c>
      <c r="AHZ13" s="19">
        <v>1.0</v>
      </c>
      <c r="AIA13" s="20">
        <v>1.0</v>
      </c>
      <c r="AIC13" s="21">
        <v>1.0</v>
      </c>
      <c r="AID13" s="19">
        <v>1.0</v>
      </c>
      <c r="AIE13" s="19">
        <v>1.0</v>
      </c>
      <c r="AIF13" s="20">
        <v>1.0</v>
      </c>
      <c r="AIH13" s="21">
        <v>1.0</v>
      </c>
      <c r="AII13" s="19">
        <v>1.0</v>
      </c>
      <c r="AIJ13" s="19">
        <v>1.0</v>
      </c>
      <c r="AIK13" s="20">
        <v>1.0</v>
      </c>
      <c r="AIM13" s="21">
        <v>1.0</v>
      </c>
      <c r="AIN13" s="19">
        <v>0.0</v>
      </c>
      <c r="AIO13" s="19">
        <v>1.0</v>
      </c>
      <c r="AIP13" s="20">
        <v>1.0</v>
      </c>
      <c r="AIR13" s="21">
        <v>1.0</v>
      </c>
      <c r="AIS13" s="19">
        <v>1.0</v>
      </c>
      <c r="AIT13" s="19">
        <v>1.0</v>
      </c>
      <c r="AIU13" s="20">
        <v>1.0</v>
      </c>
      <c r="AIW13" s="21">
        <v>1.0</v>
      </c>
      <c r="AIX13" s="19">
        <v>1.0</v>
      </c>
      <c r="AIY13" s="19">
        <v>1.0</v>
      </c>
      <c r="AIZ13" s="20">
        <v>1.0</v>
      </c>
      <c r="AJB13" s="21">
        <v>1.0</v>
      </c>
      <c r="AJC13" s="19">
        <v>1.0</v>
      </c>
      <c r="AJD13" s="19">
        <v>1.0</v>
      </c>
      <c r="AJE13" s="20">
        <v>1.0</v>
      </c>
      <c r="AJG13" s="21">
        <v>1.0</v>
      </c>
      <c r="AJH13" s="19">
        <v>1.0</v>
      </c>
      <c r="AJI13" s="19">
        <v>1.0</v>
      </c>
      <c r="AJJ13" s="20">
        <v>1.0</v>
      </c>
      <c r="AJL13" s="21">
        <v>1.0</v>
      </c>
      <c r="AJM13" s="19">
        <v>1.0</v>
      </c>
      <c r="AJN13" s="19">
        <v>1.0</v>
      </c>
      <c r="AJO13" s="20">
        <v>1.0</v>
      </c>
      <c r="AJQ13" s="21">
        <v>1.0</v>
      </c>
      <c r="AJR13" s="19">
        <v>1.0</v>
      </c>
      <c r="AJS13" s="19">
        <v>1.0</v>
      </c>
      <c r="AJT13" s="20">
        <v>1.0</v>
      </c>
      <c r="AJV13" s="21">
        <v>1.0</v>
      </c>
      <c r="AJW13" s="19">
        <v>1.0</v>
      </c>
      <c r="AJX13" s="19">
        <v>1.0</v>
      </c>
      <c r="AJY13" s="20">
        <v>1.0</v>
      </c>
    </row>
    <row r="14">
      <c r="A14" s="13"/>
      <c r="B14" s="22" t="s">
        <v>196</v>
      </c>
      <c r="C14" s="23" t="s">
        <v>196</v>
      </c>
      <c r="D14" s="23" t="s">
        <v>196</v>
      </c>
      <c r="E14" s="23" t="s">
        <v>196</v>
      </c>
      <c r="F14" s="24" t="s">
        <v>196</v>
      </c>
      <c r="H14" s="22" t="s">
        <v>196</v>
      </c>
      <c r="I14" s="23" t="s">
        <v>196</v>
      </c>
      <c r="J14" s="23" t="s">
        <v>196</v>
      </c>
      <c r="K14" s="24" t="s">
        <v>196</v>
      </c>
      <c r="M14" s="22" t="s">
        <v>196</v>
      </c>
      <c r="N14" s="23" t="s">
        <v>196</v>
      </c>
      <c r="O14" s="23" t="s">
        <v>196</v>
      </c>
      <c r="P14" s="24" t="s">
        <v>196</v>
      </c>
      <c r="R14" s="22" t="s">
        <v>196</v>
      </c>
      <c r="S14" s="23" t="s">
        <v>196</v>
      </c>
      <c r="T14" s="23" t="s">
        <v>196</v>
      </c>
      <c r="U14" s="24" t="s">
        <v>196</v>
      </c>
      <c r="W14" s="22" t="s">
        <v>196</v>
      </c>
      <c r="X14" s="23" t="s">
        <v>196</v>
      </c>
      <c r="Y14" s="23" t="s">
        <v>196</v>
      </c>
      <c r="Z14" s="24" t="s">
        <v>196</v>
      </c>
      <c r="AB14" s="22" t="s">
        <v>196</v>
      </c>
      <c r="AC14" s="23" t="s">
        <v>196</v>
      </c>
      <c r="AD14" s="23" t="s">
        <v>196</v>
      </c>
      <c r="AE14" s="24" t="s">
        <v>196</v>
      </c>
      <c r="AG14" s="22" t="s">
        <v>196</v>
      </c>
      <c r="AH14" s="23" t="s">
        <v>196</v>
      </c>
      <c r="AI14" s="23" t="s">
        <v>196</v>
      </c>
      <c r="AJ14" s="24" t="s">
        <v>196</v>
      </c>
      <c r="AL14" s="22" t="s">
        <v>196</v>
      </c>
      <c r="AM14" s="23" t="s">
        <v>196</v>
      </c>
      <c r="AN14" s="23" t="s">
        <v>196</v>
      </c>
      <c r="AO14" s="24" t="s">
        <v>196</v>
      </c>
      <c r="AQ14" s="22" t="s">
        <v>196</v>
      </c>
      <c r="AR14" s="23" t="s">
        <v>196</v>
      </c>
      <c r="AS14" s="23" t="s">
        <v>196</v>
      </c>
      <c r="AT14" s="24" t="s">
        <v>196</v>
      </c>
      <c r="AV14" s="22" t="s">
        <v>196</v>
      </c>
      <c r="AW14" s="23" t="s">
        <v>196</v>
      </c>
      <c r="AX14" s="23" t="s">
        <v>196</v>
      </c>
      <c r="AY14" s="24" t="s">
        <v>196</v>
      </c>
      <c r="BA14" s="22" t="s">
        <v>196</v>
      </c>
      <c r="BB14" s="23" t="s">
        <v>196</v>
      </c>
      <c r="BC14" s="23" t="s">
        <v>196</v>
      </c>
      <c r="BD14" s="24" t="s">
        <v>196</v>
      </c>
      <c r="BF14" s="22" t="s">
        <v>196</v>
      </c>
      <c r="BG14" s="23" t="s">
        <v>196</v>
      </c>
      <c r="BH14" s="23" t="s">
        <v>196</v>
      </c>
      <c r="BI14" s="24" t="s">
        <v>196</v>
      </c>
      <c r="BK14" s="22" t="s">
        <v>196</v>
      </c>
      <c r="BL14" s="23" t="s">
        <v>196</v>
      </c>
      <c r="BM14" s="23" t="s">
        <v>196</v>
      </c>
      <c r="BN14" s="24" t="s">
        <v>196</v>
      </c>
      <c r="BP14" s="22" t="s">
        <v>196</v>
      </c>
      <c r="BQ14" s="23" t="s">
        <v>196</v>
      </c>
      <c r="BR14" s="23" t="s">
        <v>196</v>
      </c>
      <c r="BS14" s="24" t="s">
        <v>196</v>
      </c>
      <c r="BU14" s="22" t="s">
        <v>196</v>
      </c>
      <c r="BV14" s="23" t="s">
        <v>196</v>
      </c>
      <c r="BW14" s="23" t="s">
        <v>196</v>
      </c>
      <c r="BX14" s="24" t="s">
        <v>196</v>
      </c>
      <c r="BZ14" s="22" t="s">
        <v>196</v>
      </c>
      <c r="CA14" s="23" t="s">
        <v>196</v>
      </c>
      <c r="CB14" s="23" t="s">
        <v>196</v>
      </c>
      <c r="CC14" s="24" t="s">
        <v>196</v>
      </c>
      <c r="CE14" s="22" t="s">
        <v>196</v>
      </c>
      <c r="CF14" s="23" t="s">
        <v>196</v>
      </c>
      <c r="CG14" s="23" t="s">
        <v>196</v>
      </c>
      <c r="CH14" s="24" t="s">
        <v>196</v>
      </c>
      <c r="CJ14" s="22" t="s">
        <v>196</v>
      </c>
      <c r="CK14" s="23" t="s">
        <v>196</v>
      </c>
      <c r="CL14" s="23" t="s">
        <v>196</v>
      </c>
      <c r="CM14" s="24" t="s">
        <v>196</v>
      </c>
      <c r="CO14" s="22" t="s">
        <v>196</v>
      </c>
      <c r="CP14" s="23" t="s">
        <v>196</v>
      </c>
      <c r="CQ14" s="23" t="s">
        <v>196</v>
      </c>
      <c r="CR14" s="24" t="s">
        <v>196</v>
      </c>
      <c r="CT14" s="22" t="s">
        <v>196</v>
      </c>
      <c r="CU14" s="23" t="s">
        <v>196</v>
      </c>
      <c r="CV14" s="23" t="s">
        <v>196</v>
      </c>
      <c r="CW14" s="24" t="s">
        <v>196</v>
      </c>
      <c r="CY14" s="22" t="s">
        <v>196</v>
      </c>
      <c r="CZ14" s="23" t="s">
        <v>196</v>
      </c>
      <c r="DA14" s="23" t="s">
        <v>196</v>
      </c>
      <c r="DB14" s="24" t="s">
        <v>196</v>
      </c>
      <c r="DD14" s="22" t="s">
        <v>196</v>
      </c>
      <c r="DE14" s="23" t="s">
        <v>196</v>
      </c>
      <c r="DF14" s="23" t="s">
        <v>196</v>
      </c>
      <c r="DG14" s="24" t="s">
        <v>196</v>
      </c>
      <c r="DI14" s="22" t="s">
        <v>196</v>
      </c>
      <c r="DJ14" s="23" t="s">
        <v>196</v>
      </c>
      <c r="DK14" s="23" t="s">
        <v>196</v>
      </c>
      <c r="DL14" s="24" t="s">
        <v>196</v>
      </c>
      <c r="DN14" s="22" t="s">
        <v>196</v>
      </c>
      <c r="DO14" s="23" t="s">
        <v>196</v>
      </c>
      <c r="DP14" s="23" t="s">
        <v>196</v>
      </c>
      <c r="DQ14" s="24" t="s">
        <v>196</v>
      </c>
      <c r="DS14" s="22" t="s">
        <v>196</v>
      </c>
      <c r="DT14" s="23" t="s">
        <v>196</v>
      </c>
      <c r="DU14" s="23" t="s">
        <v>196</v>
      </c>
      <c r="DV14" s="24" t="s">
        <v>196</v>
      </c>
      <c r="DX14" s="22" t="s">
        <v>196</v>
      </c>
      <c r="DY14" s="23" t="s">
        <v>196</v>
      </c>
      <c r="DZ14" s="23" t="s">
        <v>196</v>
      </c>
      <c r="EA14" s="24" t="s">
        <v>196</v>
      </c>
      <c r="EC14" s="22" t="s">
        <v>196</v>
      </c>
      <c r="ED14" s="23" t="s">
        <v>196</v>
      </c>
      <c r="EE14" s="23" t="s">
        <v>196</v>
      </c>
      <c r="EF14" s="24" t="s">
        <v>196</v>
      </c>
      <c r="EH14" s="22" t="s">
        <v>196</v>
      </c>
      <c r="EI14" s="23" t="s">
        <v>196</v>
      </c>
      <c r="EJ14" s="23" t="s">
        <v>196</v>
      </c>
      <c r="EK14" s="24" t="s">
        <v>196</v>
      </c>
      <c r="EM14" s="22" t="s">
        <v>196</v>
      </c>
      <c r="EN14" s="23" t="s">
        <v>196</v>
      </c>
      <c r="EO14" s="23" t="s">
        <v>196</v>
      </c>
      <c r="EP14" s="24" t="s">
        <v>196</v>
      </c>
      <c r="ER14" s="22" t="s">
        <v>196</v>
      </c>
      <c r="ES14" s="23" t="s">
        <v>196</v>
      </c>
      <c r="ET14" s="23" t="s">
        <v>196</v>
      </c>
      <c r="EU14" s="24" t="s">
        <v>196</v>
      </c>
      <c r="EW14" s="22" t="s">
        <v>196</v>
      </c>
      <c r="EX14" s="23" t="s">
        <v>196</v>
      </c>
      <c r="EY14" s="23" t="s">
        <v>196</v>
      </c>
      <c r="EZ14" s="24" t="s">
        <v>196</v>
      </c>
      <c r="FB14" s="22" t="s">
        <v>196</v>
      </c>
      <c r="FC14" s="23" t="s">
        <v>196</v>
      </c>
      <c r="FD14" s="23" t="s">
        <v>196</v>
      </c>
      <c r="FE14" s="24" t="s">
        <v>196</v>
      </c>
      <c r="FG14" s="22" t="s">
        <v>196</v>
      </c>
      <c r="FH14" s="23" t="s">
        <v>196</v>
      </c>
      <c r="FI14" s="23" t="s">
        <v>196</v>
      </c>
      <c r="FJ14" s="24" t="s">
        <v>196</v>
      </c>
      <c r="FL14" s="22" t="s">
        <v>196</v>
      </c>
      <c r="FM14" s="23" t="s">
        <v>196</v>
      </c>
      <c r="FN14" s="23" t="s">
        <v>196</v>
      </c>
      <c r="FO14" s="24" t="s">
        <v>196</v>
      </c>
      <c r="FQ14" s="22" t="s">
        <v>196</v>
      </c>
      <c r="FR14" s="23" t="s">
        <v>196</v>
      </c>
      <c r="FS14" s="23" t="s">
        <v>196</v>
      </c>
      <c r="FT14" s="24" t="s">
        <v>196</v>
      </c>
      <c r="FV14" s="22" t="s">
        <v>196</v>
      </c>
      <c r="FW14" s="23" t="s">
        <v>196</v>
      </c>
      <c r="FX14" s="23" t="s">
        <v>196</v>
      </c>
      <c r="FY14" s="24" t="s">
        <v>196</v>
      </c>
      <c r="GA14" s="22" t="s">
        <v>196</v>
      </c>
      <c r="GB14" s="23" t="s">
        <v>196</v>
      </c>
      <c r="GC14" s="23" t="s">
        <v>196</v>
      </c>
      <c r="GD14" s="24" t="s">
        <v>196</v>
      </c>
      <c r="GF14" s="22" t="s">
        <v>196</v>
      </c>
      <c r="GG14" s="23" t="s">
        <v>196</v>
      </c>
      <c r="GH14" s="23" t="s">
        <v>196</v>
      </c>
      <c r="GI14" s="24" t="s">
        <v>196</v>
      </c>
      <c r="GK14" s="22" t="s">
        <v>196</v>
      </c>
      <c r="GL14" s="23" t="s">
        <v>196</v>
      </c>
      <c r="GM14" s="23" t="s">
        <v>196</v>
      </c>
      <c r="GN14" s="24" t="s">
        <v>196</v>
      </c>
      <c r="GP14" s="22" t="s">
        <v>196</v>
      </c>
      <c r="GQ14" s="23" t="s">
        <v>196</v>
      </c>
      <c r="GR14" s="23" t="s">
        <v>196</v>
      </c>
      <c r="GS14" s="24" t="s">
        <v>196</v>
      </c>
      <c r="GU14" s="22" t="s">
        <v>196</v>
      </c>
      <c r="GV14" s="23" t="s">
        <v>196</v>
      </c>
      <c r="GW14" s="23" t="s">
        <v>196</v>
      </c>
      <c r="GX14" s="24" t="s">
        <v>196</v>
      </c>
      <c r="GZ14" s="22" t="s">
        <v>196</v>
      </c>
      <c r="HA14" s="23" t="s">
        <v>196</v>
      </c>
      <c r="HB14" s="23" t="s">
        <v>196</v>
      </c>
      <c r="HC14" s="24" t="s">
        <v>196</v>
      </c>
      <c r="HE14" s="22" t="s">
        <v>196</v>
      </c>
      <c r="HF14" s="23" t="s">
        <v>196</v>
      </c>
      <c r="HG14" s="23" t="s">
        <v>196</v>
      </c>
      <c r="HH14" s="24" t="s">
        <v>196</v>
      </c>
      <c r="HJ14" s="22" t="s">
        <v>196</v>
      </c>
      <c r="HK14" s="23" t="s">
        <v>196</v>
      </c>
      <c r="HL14" s="23" t="s">
        <v>196</v>
      </c>
      <c r="HM14" s="24" t="s">
        <v>196</v>
      </c>
      <c r="HO14" s="22" t="s">
        <v>196</v>
      </c>
      <c r="HP14" s="23" t="s">
        <v>196</v>
      </c>
      <c r="HQ14" s="23" t="s">
        <v>196</v>
      </c>
      <c r="HR14" s="24" t="s">
        <v>196</v>
      </c>
      <c r="HT14" s="22" t="s">
        <v>196</v>
      </c>
      <c r="HU14" s="23" t="s">
        <v>196</v>
      </c>
      <c r="HV14" s="23" t="s">
        <v>196</v>
      </c>
      <c r="HW14" s="24" t="s">
        <v>196</v>
      </c>
      <c r="HY14" s="22" t="s">
        <v>196</v>
      </c>
      <c r="HZ14" s="23" t="s">
        <v>196</v>
      </c>
      <c r="IA14" s="23" t="s">
        <v>196</v>
      </c>
      <c r="IB14" s="24" t="s">
        <v>196</v>
      </c>
      <c r="ID14" s="22" t="s">
        <v>196</v>
      </c>
      <c r="IE14" s="23" t="s">
        <v>196</v>
      </c>
      <c r="IF14" s="23" t="s">
        <v>196</v>
      </c>
      <c r="IG14" s="24" t="s">
        <v>196</v>
      </c>
      <c r="II14" s="22" t="s">
        <v>196</v>
      </c>
      <c r="IJ14" s="23" t="s">
        <v>196</v>
      </c>
      <c r="IK14" s="23" t="s">
        <v>196</v>
      </c>
      <c r="IL14" s="24" t="s">
        <v>196</v>
      </c>
      <c r="IN14" s="22" t="s">
        <v>196</v>
      </c>
      <c r="IO14" s="23" t="s">
        <v>196</v>
      </c>
      <c r="IP14" s="23" t="s">
        <v>196</v>
      </c>
      <c r="IQ14" s="24" t="s">
        <v>196</v>
      </c>
      <c r="IS14" s="22" t="s">
        <v>196</v>
      </c>
      <c r="IT14" s="23" t="s">
        <v>196</v>
      </c>
      <c r="IU14" s="23" t="s">
        <v>196</v>
      </c>
      <c r="IV14" s="24" t="s">
        <v>196</v>
      </c>
      <c r="IX14" s="22" t="s">
        <v>196</v>
      </c>
      <c r="IY14" s="23" t="s">
        <v>196</v>
      </c>
      <c r="IZ14" s="23" t="s">
        <v>196</v>
      </c>
      <c r="JA14" s="24" t="s">
        <v>196</v>
      </c>
      <c r="JC14" s="22" t="s">
        <v>196</v>
      </c>
      <c r="JD14" s="23" t="s">
        <v>196</v>
      </c>
      <c r="JE14" s="23" t="s">
        <v>196</v>
      </c>
      <c r="JF14" s="24" t="s">
        <v>196</v>
      </c>
      <c r="JH14" s="22" t="s">
        <v>196</v>
      </c>
      <c r="JI14" s="23" t="s">
        <v>196</v>
      </c>
      <c r="JJ14" s="23" t="s">
        <v>196</v>
      </c>
      <c r="JK14" s="24" t="s">
        <v>196</v>
      </c>
      <c r="JM14" s="22" t="s">
        <v>196</v>
      </c>
      <c r="JN14" s="23" t="s">
        <v>196</v>
      </c>
      <c r="JO14" s="23" t="s">
        <v>196</v>
      </c>
      <c r="JP14" s="24" t="s">
        <v>196</v>
      </c>
      <c r="JR14" s="22" t="s">
        <v>196</v>
      </c>
      <c r="JS14" s="23" t="s">
        <v>196</v>
      </c>
      <c r="JT14" s="23" t="s">
        <v>196</v>
      </c>
      <c r="JU14" s="24" t="s">
        <v>196</v>
      </c>
      <c r="JW14" s="22" t="s">
        <v>196</v>
      </c>
      <c r="JX14" s="23" t="s">
        <v>196</v>
      </c>
      <c r="JY14" s="23" t="s">
        <v>196</v>
      </c>
      <c r="JZ14" s="24" t="s">
        <v>196</v>
      </c>
      <c r="KB14" s="22" t="s">
        <v>196</v>
      </c>
      <c r="KC14" s="23" t="s">
        <v>196</v>
      </c>
      <c r="KD14" s="23" t="s">
        <v>196</v>
      </c>
      <c r="KE14" s="24" t="s">
        <v>196</v>
      </c>
      <c r="KG14" s="22" t="s">
        <v>196</v>
      </c>
      <c r="KH14" s="23" t="s">
        <v>196</v>
      </c>
      <c r="KI14" s="23" t="s">
        <v>196</v>
      </c>
      <c r="KJ14" s="24" t="s">
        <v>196</v>
      </c>
      <c r="KL14" s="22" t="s">
        <v>196</v>
      </c>
      <c r="KM14" s="23" t="s">
        <v>196</v>
      </c>
      <c r="KN14" s="23" t="s">
        <v>196</v>
      </c>
      <c r="KO14" s="24" t="s">
        <v>196</v>
      </c>
      <c r="KQ14" s="22" t="s">
        <v>196</v>
      </c>
      <c r="KR14" s="23" t="s">
        <v>196</v>
      </c>
      <c r="KS14" s="23" t="s">
        <v>196</v>
      </c>
      <c r="KT14" s="24" t="s">
        <v>196</v>
      </c>
      <c r="KV14" s="22" t="s">
        <v>196</v>
      </c>
      <c r="KW14" s="23" t="s">
        <v>196</v>
      </c>
      <c r="KX14" s="23" t="s">
        <v>196</v>
      </c>
      <c r="KY14" s="24" t="s">
        <v>196</v>
      </c>
      <c r="LA14" s="22" t="s">
        <v>196</v>
      </c>
      <c r="LB14" s="23" t="s">
        <v>196</v>
      </c>
      <c r="LC14" s="23" t="s">
        <v>196</v>
      </c>
      <c r="LD14" s="24" t="s">
        <v>196</v>
      </c>
      <c r="LF14" s="22" t="s">
        <v>196</v>
      </c>
      <c r="LG14" s="23" t="s">
        <v>196</v>
      </c>
      <c r="LH14" s="23" t="s">
        <v>196</v>
      </c>
      <c r="LI14" s="24" t="s">
        <v>196</v>
      </c>
      <c r="LK14" s="22" t="s">
        <v>196</v>
      </c>
      <c r="LL14" s="23" t="s">
        <v>196</v>
      </c>
      <c r="LM14" s="23" t="s">
        <v>196</v>
      </c>
      <c r="LN14" s="24" t="s">
        <v>196</v>
      </c>
      <c r="LP14" s="22" t="s">
        <v>196</v>
      </c>
      <c r="LQ14" s="23" t="s">
        <v>196</v>
      </c>
      <c r="LR14" s="23" t="s">
        <v>196</v>
      </c>
      <c r="LS14" s="24" t="s">
        <v>196</v>
      </c>
      <c r="LU14" s="22" t="s">
        <v>196</v>
      </c>
      <c r="LV14" s="23" t="s">
        <v>196</v>
      </c>
      <c r="LW14" s="23" t="s">
        <v>196</v>
      </c>
      <c r="LX14" s="24" t="s">
        <v>196</v>
      </c>
      <c r="LZ14" s="22" t="s">
        <v>196</v>
      </c>
      <c r="MA14" s="23" t="s">
        <v>196</v>
      </c>
      <c r="MB14" s="23" t="s">
        <v>196</v>
      </c>
      <c r="MC14" s="24" t="s">
        <v>196</v>
      </c>
      <c r="ME14" s="22" t="s">
        <v>196</v>
      </c>
      <c r="MF14" s="23" t="s">
        <v>196</v>
      </c>
      <c r="MG14" s="23" t="s">
        <v>196</v>
      </c>
      <c r="MH14" s="24" t="s">
        <v>196</v>
      </c>
      <c r="MJ14" s="22" t="s">
        <v>196</v>
      </c>
      <c r="MK14" s="23" t="s">
        <v>196</v>
      </c>
      <c r="ML14" s="23" t="s">
        <v>196</v>
      </c>
      <c r="MM14" s="24" t="s">
        <v>196</v>
      </c>
      <c r="MO14" s="22" t="s">
        <v>196</v>
      </c>
      <c r="MP14" s="23" t="s">
        <v>196</v>
      </c>
      <c r="MQ14" s="23" t="s">
        <v>196</v>
      </c>
      <c r="MR14" s="24" t="s">
        <v>196</v>
      </c>
      <c r="MT14" s="22" t="s">
        <v>196</v>
      </c>
      <c r="MU14" s="23" t="s">
        <v>196</v>
      </c>
      <c r="MV14" s="23" t="s">
        <v>196</v>
      </c>
      <c r="MW14" s="24" t="s">
        <v>196</v>
      </c>
      <c r="MY14" s="22" t="s">
        <v>196</v>
      </c>
      <c r="MZ14" s="23" t="s">
        <v>196</v>
      </c>
      <c r="NA14" s="23" t="s">
        <v>196</v>
      </c>
      <c r="NB14" s="24" t="s">
        <v>196</v>
      </c>
      <c r="ND14" s="22" t="s">
        <v>196</v>
      </c>
      <c r="NE14" s="23" t="s">
        <v>196</v>
      </c>
      <c r="NF14" s="23" t="s">
        <v>196</v>
      </c>
      <c r="NG14" s="24" t="s">
        <v>196</v>
      </c>
      <c r="NI14" s="22" t="s">
        <v>196</v>
      </c>
      <c r="NJ14" s="23" t="s">
        <v>196</v>
      </c>
      <c r="NK14" s="23" t="s">
        <v>196</v>
      </c>
      <c r="NL14" s="24" t="s">
        <v>196</v>
      </c>
      <c r="NN14" s="22" t="s">
        <v>196</v>
      </c>
      <c r="NO14" s="23" t="s">
        <v>196</v>
      </c>
      <c r="NP14" s="23" t="s">
        <v>196</v>
      </c>
      <c r="NQ14" s="24" t="s">
        <v>196</v>
      </c>
      <c r="NS14" s="22" t="s">
        <v>196</v>
      </c>
      <c r="NT14" s="23" t="s">
        <v>196</v>
      </c>
      <c r="NU14" s="23" t="s">
        <v>196</v>
      </c>
      <c r="NV14" s="24" t="s">
        <v>196</v>
      </c>
      <c r="NX14" s="22" t="s">
        <v>196</v>
      </c>
      <c r="NY14" s="23" t="s">
        <v>196</v>
      </c>
      <c r="NZ14" s="23" t="s">
        <v>196</v>
      </c>
      <c r="OA14" s="24" t="s">
        <v>196</v>
      </c>
      <c r="OC14" s="22" t="s">
        <v>196</v>
      </c>
      <c r="OD14" s="23" t="s">
        <v>196</v>
      </c>
      <c r="OE14" s="23" t="s">
        <v>196</v>
      </c>
      <c r="OF14" s="24" t="s">
        <v>196</v>
      </c>
      <c r="OH14" s="22" t="s">
        <v>196</v>
      </c>
      <c r="OI14" s="23" t="s">
        <v>196</v>
      </c>
      <c r="OJ14" s="23" t="s">
        <v>196</v>
      </c>
      <c r="OK14" s="24" t="s">
        <v>196</v>
      </c>
      <c r="OM14" s="22" t="s">
        <v>196</v>
      </c>
      <c r="ON14" s="23" t="s">
        <v>196</v>
      </c>
      <c r="OO14" s="23" t="s">
        <v>196</v>
      </c>
      <c r="OP14" s="24" t="s">
        <v>196</v>
      </c>
      <c r="OR14" s="22" t="s">
        <v>196</v>
      </c>
      <c r="OS14" s="23" t="s">
        <v>196</v>
      </c>
      <c r="OT14" s="23" t="s">
        <v>196</v>
      </c>
      <c r="OU14" s="24" t="s">
        <v>196</v>
      </c>
      <c r="OW14" s="22" t="s">
        <v>196</v>
      </c>
      <c r="OX14" s="23" t="s">
        <v>196</v>
      </c>
      <c r="OY14" s="23" t="s">
        <v>196</v>
      </c>
      <c r="OZ14" s="24" t="s">
        <v>196</v>
      </c>
      <c r="PB14" s="22" t="s">
        <v>196</v>
      </c>
      <c r="PC14" s="23" t="s">
        <v>196</v>
      </c>
      <c r="PD14" s="23" t="s">
        <v>196</v>
      </c>
      <c r="PE14" s="24" t="s">
        <v>196</v>
      </c>
      <c r="PG14" s="22" t="s">
        <v>196</v>
      </c>
      <c r="PH14" s="23" t="s">
        <v>196</v>
      </c>
      <c r="PI14" s="23" t="s">
        <v>196</v>
      </c>
      <c r="PJ14" s="24" t="s">
        <v>196</v>
      </c>
      <c r="PL14" s="22" t="s">
        <v>196</v>
      </c>
      <c r="PM14" s="23" t="s">
        <v>196</v>
      </c>
      <c r="PN14" s="23" t="s">
        <v>196</v>
      </c>
      <c r="PO14" s="24" t="s">
        <v>196</v>
      </c>
      <c r="PQ14" s="22" t="s">
        <v>196</v>
      </c>
      <c r="PR14" s="23" t="s">
        <v>196</v>
      </c>
      <c r="PS14" s="23" t="s">
        <v>196</v>
      </c>
      <c r="PT14" s="24" t="s">
        <v>196</v>
      </c>
      <c r="PV14" s="22" t="s">
        <v>196</v>
      </c>
      <c r="PW14" s="23" t="s">
        <v>196</v>
      </c>
      <c r="PX14" s="23" t="s">
        <v>196</v>
      </c>
      <c r="PY14" s="24" t="s">
        <v>196</v>
      </c>
      <c r="QA14" s="22" t="s">
        <v>196</v>
      </c>
      <c r="QB14" s="23" t="s">
        <v>196</v>
      </c>
      <c r="QC14" s="23" t="s">
        <v>196</v>
      </c>
      <c r="QD14" s="24" t="s">
        <v>196</v>
      </c>
      <c r="QF14" s="22" t="s">
        <v>196</v>
      </c>
      <c r="QG14" s="23" t="s">
        <v>196</v>
      </c>
      <c r="QH14" s="23" t="s">
        <v>196</v>
      </c>
      <c r="QI14" s="24" t="s">
        <v>196</v>
      </c>
      <c r="QK14" s="22" t="s">
        <v>196</v>
      </c>
      <c r="QL14" s="23" t="s">
        <v>196</v>
      </c>
      <c r="QM14" s="23" t="s">
        <v>196</v>
      </c>
      <c r="QN14" s="24" t="s">
        <v>196</v>
      </c>
      <c r="QP14" s="22" t="s">
        <v>196</v>
      </c>
      <c r="QQ14" s="23" t="s">
        <v>196</v>
      </c>
      <c r="QR14" s="23" t="s">
        <v>196</v>
      </c>
      <c r="QS14" s="24" t="s">
        <v>196</v>
      </c>
      <c r="QU14" s="22" t="s">
        <v>196</v>
      </c>
      <c r="QV14" s="23" t="s">
        <v>196</v>
      </c>
      <c r="QW14" s="23" t="s">
        <v>196</v>
      </c>
      <c r="QX14" s="24" t="s">
        <v>196</v>
      </c>
      <c r="QZ14" s="22" t="s">
        <v>196</v>
      </c>
      <c r="RA14" s="23" t="s">
        <v>196</v>
      </c>
      <c r="RB14" s="23" t="s">
        <v>196</v>
      </c>
      <c r="RC14" s="24" t="s">
        <v>196</v>
      </c>
      <c r="RE14" s="22" t="s">
        <v>196</v>
      </c>
      <c r="RF14" s="23" t="s">
        <v>196</v>
      </c>
      <c r="RG14" s="23" t="s">
        <v>196</v>
      </c>
      <c r="RH14" s="24" t="s">
        <v>196</v>
      </c>
      <c r="RJ14" s="22" t="s">
        <v>196</v>
      </c>
      <c r="RK14" s="23" t="s">
        <v>196</v>
      </c>
      <c r="RL14" s="23" t="s">
        <v>196</v>
      </c>
      <c r="RM14" s="24" t="s">
        <v>196</v>
      </c>
      <c r="RO14" s="22" t="s">
        <v>196</v>
      </c>
      <c r="RP14" s="23" t="s">
        <v>196</v>
      </c>
      <c r="RQ14" s="23" t="s">
        <v>196</v>
      </c>
      <c r="RR14" s="24" t="s">
        <v>196</v>
      </c>
      <c r="RT14" s="22" t="s">
        <v>196</v>
      </c>
      <c r="RU14" s="23" t="s">
        <v>196</v>
      </c>
      <c r="RV14" s="23" t="s">
        <v>196</v>
      </c>
      <c r="RW14" s="24" t="s">
        <v>196</v>
      </c>
      <c r="RY14" s="22" t="s">
        <v>196</v>
      </c>
      <c r="RZ14" s="23" t="s">
        <v>196</v>
      </c>
      <c r="SA14" s="23" t="s">
        <v>196</v>
      </c>
      <c r="SB14" s="24" t="s">
        <v>196</v>
      </c>
      <c r="SD14" s="22" t="s">
        <v>196</v>
      </c>
      <c r="SE14" s="23" t="s">
        <v>196</v>
      </c>
      <c r="SF14" s="23" t="s">
        <v>196</v>
      </c>
      <c r="SG14" s="24" t="s">
        <v>196</v>
      </c>
      <c r="SI14" s="22" t="s">
        <v>196</v>
      </c>
      <c r="SJ14" s="23" t="s">
        <v>196</v>
      </c>
      <c r="SK14" s="23" t="s">
        <v>196</v>
      </c>
      <c r="SL14" s="24" t="s">
        <v>196</v>
      </c>
      <c r="SN14" s="22" t="s">
        <v>196</v>
      </c>
      <c r="SO14" s="23" t="s">
        <v>196</v>
      </c>
      <c r="SP14" s="23" t="s">
        <v>196</v>
      </c>
      <c r="SQ14" s="24" t="s">
        <v>196</v>
      </c>
      <c r="SS14" s="22" t="s">
        <v>196</v>
      </c>
      <c r="ST14" s="23" t="s">
        <v>196</v>
      </c>
      <c r="SU14" s="23" t="s">
        <v>196</v>
      </c>
      <c r="SV14" s="24" t="s">
        <v>196</v>
      </c>
      <c r="SX14" s="22" t="s">
        <v>196</v>
      </c>
      <c r="SY14" s="23" t="s">
        <v>196</v>
      </c>
      <c r="SZ14" s="23" t="s">
        <v>196</v>
      </c>
      <c r="TA14" s="24" t="s">
        <v>196</v>
      </c>
      <c r="TC14" s="22" t="s">
        <v>196</v>
      </c>
      <c r="TD14" s="23" t="s">
        <v>196</v>
      </c>
      <c r="TE14" s="23" t="s">
        <v>196</v>
      </c>
      <c r="TF14" s="24" t="s">
        <v>196</v>
      </c>
      <c r="TH14" s="22" t="s">
        <v>196</v>
      </c>
      <c r="TI14" s="23" t="s">
        <v>196</v>
      </c>
      <c r="TJ14" s="23" t="s">
        <v>196</v>
      </c>
      <c r="TK14" s="24" t="s">
        <v>196</v>
      </c>
      <c r="TM14" s="22" t="s">
        <v>196</v>
      </c>
      <c r="TN14" s="23" t="s">
        <v>196</v>
      </c>
      <c r="TO14" s="23" t="s">
        <v>196</v>
      </c>
      <c r="TP14" s="24" t="s">
        <v>196</v>
      </c>
      <c r="TR14" s="22" t="s">
        <v>196</v>
      </c>
      <c r="TS14" s="23" t="s">
        <v>196</v>
      </c>
      <c r="TT14" s="23" t="s">
        <v>196</v>
      </c>
      <c r="TU14" s="24" t="s">
        <v>196</v>
      </c>
      <c r="TW14" s="22" t="s">
        <v>196</v>
      </c>
      <c r="TX14" s="23" t="s">
        <v>196</v>
      </c>
      <c r="TY14" s="23" t="s">
        <v>196</v>
      </c>
      <c r="TZ14" s="24" t="s">
        <v>196</v>
      </c>
      <c r="UB14" s="22" t="s">
        <v>196</v>
      </c>
      <c r="UC14" s="23" t="s">
        <v>196</v>
      </c>
      <c r="UD14" s="23" t="s">
        <v>196</v>
      </c>
      <c r="UE14" s="24" t="s">
        <v>196</v>
      </c>
      <c r="UG14" s="22" t="s">
        <v>196</v>
      </c>
      <c r="UH14" s="23" t="s">
        <v>196</v>
      </c>
      <c r="UI14" s="23" t="s">
        <v>196</v>
      </c>
      <c r="UJ14" s="24" t="s">
        <v>196</v>
      </c>
      <c r="UL14" s="22" t="s">
        <v>196</v>
      </c>
      <c r="UM14" s="23" t="s">
        <v>196</v>
      </c>
      <c r="UN14" s="23" t="s">
        <v>196</v>
      </c>
      <c r="UO14" s="24" t="s">
        <v>196</v>
      </c>
      <c r="UQ14" s="22" t="s">
        <v>196</v>
      </c>
      <c r="UR14" s="23" t="s">
        <v>196</v>
      </c>
      <c r="US14" s="23" t="s">
        <v>196</v>
      </c>
      <c r="UT14" s="24" t="s">
        <v>196</v>
      </c>
      <c r="UV14" s="22" t="s">
        <v>196</v>
      </c>
      <c r="UW14" s="23" t="s">
        <v>196</v>
      </c>
      <c r="UX14" s="23" t="s">
        <v>196</v>
      </c>
      <c r="UY14" s="24" t="s">
        <v>196</v>
      </c>
      <c r="VA14" s="22" t="s">
        <v>196</v>
      </c>
      <c r="VB14" s="23" t="s">
        <v>196</v>
      </c>
      <c r="VC14" s="23" t="s">
        <v>196</v>
      </c>
      <c r="VD14" s="24" t="s">
        <v>196</v>
      </c>
      <c r="VF14" s="22" t="s">
        <v>196</v>
      </c>
      <c r="VG14" s="23" t="s">
        <v>196</v>
      </c>
      <c r="VH14" s="23" t="s">
        <v>196</v>
      </c>
      <c r="VI14" s="24" t="s">
        <v>196</v>
      </c>
      <c r="VK14" s="22" t="s">
        <v>196</v>
      </c>
      <c r="VL14" s="23" t="s">
        <v>196</v>
      </c>
      <c r="VM14" s="23" t="s">
        <v>196</v>
      </c>
      <c r="VN14" s="24" t="s">
        <v>196</v>
      </c>
      <c r="VP14" s="22" t="s">
        <v>196</v>
      </c>
      <c r="VQ14" s="23" t="s">
        <v>196</v>
      </c>
      <c r="VR14" s="23" t="s">
        <v>196</v>
      </c>
      <c r="VS14" s="24" t="s">
        <v>196</v>
      </c>
      <c r="VU14" s="22" t="s">
        <v>196</v>
      </c>
      <c r="VV14" s="23" t="s">
        <v>196</v>
      </c>
      <c r="VW14" s="23" t="s">
        <v>196</v>
      </c>
      <c r="VX14" s="24" t="s">
        <v>196</v>
      </c>
      <c r="VZ14" s="22" t="s">
        <v>196</v>
      </c>
      <c r="WA14" s="23" t="s">
        <v>196</v>
      </c>
      <c r="WB14" s="23" t="s">
        <v>196</v>
      </c>
      <c r="WC14" s="24" t="s">
        <v>196</v>
      </c>
      <c r="WE14" s="22" t="s">
        <v>196</v>
      </c>
      <c r="WF14" s="23" t="s">
        <v>196</v>
      </c>
      <c r="WG14" s="23" t="s">
        <v>196</v>
      </c>
      <c r="WH14" s="24" t="s">
        <v>196</v>
      </c>
      <c r="WJ14" s="22" t="s">
        <v>196</v>
      </c>
      <c r="WK14" s="23" t="s">
        <v>196</v>
      </c>
      <c r="WL14" s="23" t="s">
        <v>196</v>
      </c>
      <c r="WM14" s="24" t="s">
        <v>196</v>
      </c>
      <c r="WO14" s="22" t="s">
        <v>196</v>
      </c>
      <c r="WP14" s="23" t="s">
        <v>196</v>
      </c>
      <c r="WQ14" s="23" t="s">
        <v>196</v>
      </c>
      <c r="WR14" s="24" t="s">
        <v>196</v>
      </c>
      <c r="WT14" s="22" t="s">
        <v>196</v>
      </c>
      <c r="WU14" s="23" t="s">
        <v>196</v>
      </c>
      <c r="WV14" s="23" t="s">
        <v>196</v>
      </c>
      <c r="WW14" s="24" t="s">
        <v>196</v>
      </c>
      <c r="WY14" s="22" t="s">
        <v>196</v>
      </c>
      <c r="WZ14" s="23" t="s">
        <v>196</v>
      </c>
      <c r="XA14" s="23" t="s">
        <v>196</v>
      </c>
      <c r="XB14" s="24" t="s">
        <v>196</v>
      </c>
      <c r="XD14" s="22" t="s">
        <v>196</v>
      </c>
      <c r="XE14" s="23" t="s">
        <v>196</v>
      </c>
      <c r="XF14" s="23" t="s">
        <v>196</v>
      </c>
      <c r="XG14" s="24" t="s">
        <v>196</v>
      </c>
      <c r="XI14" s="22" t="s">
        <v>196</v>
      </c>
      <c r="XJ14" s="23" t="s">
        <v>196</v>
      </c>
      <c r="XK14" s="23" t="s">
        <v>196</v>
      </c>
      <c r="XL14" s="24" t="s">
        <v>196</v>
      </c>
      <c r="XN14" s="22" t="s">
        <v>196</v>
      </c>
      <c r="XO14" s="23" t="s">
        <v>196</v>
      </c>
      <c r="XP14" s="23" t="s">
        <v>196</v>
      </c>
      <c r="XQ14" s="24" t="s">
        <v>196</v>
      </c>
      <c r="XS14" s="22" t="s">
        <v>196</v>
      </c>
      <c r="XT14" s="23" t="s">
        <v>196</v>
      </c>
      <c r="XU14" s="23" t="s">
        <v>196</v>
      </c>
      <c r="XV14" s="24" t="s">
        <v>196</v>
      </c>
      <c r="XX14" s="22" t="s">
        <v>196</v>
      </c>
      <c r="XY14" s="23" t="s">
        <v>196</v>
      </c>
      <c r="XZ14" s="23" t="s">
        <v>196</v>
      </c>
      <c r="YA14" s="24" t="s">
        <v>196</v>
      </c>
      <c r="YC14" s="22" t="s">
        <v>196</v>
      </c>
      <c r="YD14" s="23" t="s">
        <v>196</v>
      </c>
      <c r="YE14" s="23" t="s">
        <v>196</v>
      </c>
      <c r="YF14" s="24" t="s">
        <v>196</v>
      </c>
      <c r="YH14" s="22" t="s">
        <v>196</v>
      </c>
      <c r="YI14" s="23" t="s">
        <v>196</v>
      </c>
      <c r="YJ14" s="23" t="s">
        <v>196</v>
      </c>
      <c r="YK14" s="24" t="s">
        <v>196</v>
      </c>
      <c r="YM14" s="22" t="s">
        <v>196</v>
      </c>
      <c r="YN14" s="23" t="s">
        <v>196</v>
      </c>
      <c r="YO14" s="23" t="s">
        <v>196</v>
      </c>
      <c r="YP14" s="24" t="s">
        <v>196</v>
      </c>
      <c r="YR14" s="22" t="s">
        <v>196</v>
      </c>
      <c r="YS14" s="23" t="s">
        <v>196</v>
      </c>
      <c r="YT14" s="23" t="s">
        <v>196</v>
      </c>
      <c r="YU14" s="24" t="s">
        <v>196</v>
      </c>
      <c r="YW14" s="22" t="s">
        <v>196</v>
      </c>
      <c r="YX14" s="23" t="s">
        <v>196</v>
      </c>
      <c r="YY14" s="23" t="s">
        <v>196</v>
      </c>
      <c r="YZ14" s="24" t="s">
        <v>196</v>
      </c>
      <c r="ZB14" s="22" t="s">
        <v>196</v>
      </c>
      <c r="ZC14" s="23" t="s">
        <v>196</v>
      </c>
      <c r="ZD14" s="23" t="s">
        <v>196</v>
      </c>
      <c r="ZE14" s="24" t="s">
        <v>196</v>
      </c>
      <c r="ZG14" s="22" t="s">
        <v>196</v>
      </c>
      <c r="ZH14" s="23" t="s">
        <v>196</v>
      </c>
      <c r="ZI14" s="23" t="s">
        <v>196</v>
      </c>
      <c r="ZJ14" s="24" t="s">
        <v>196</v>
      </c>
      <c r="ZL14" s="22" t="s">
        <v>196</v>
      </c>
      <c r="ZM14" s="23" t="s">
        <v>196</v>
      </c>
      <c r="ZN14" s="23" t="s">
        <v>196</v>
      </c>
      <c r="ZO14" s="24" t="s">
        <v>196</v>
      </c>
      <c r="ZQ14" s="22" t="s">
        <v>196</v>
      </c>
      <c r="ZR14" s="23" t="s">
        <v>196</v>
      </c>
      <c r="ZS14" s="23" t="s">
        <v>196</v>
      </c>
      <c r="ZT14" s="24" t="s">
        <v>196</v>
      </c>
      <c r="ZV14" s="22" t="s">
        <v>196</v>
      </c>
      <c r="ZW14" s="23" t="s">
        <v>196</v>
      </c>
      <c r="ZX14" s="23" t="s">
        <v>196</v>
      </c>
      <c r="ZY14" s="24" t="s">
        <v>196</v>
      </c>
      <c r="AAA14" s="22" t="s">
        <v>196</v>
      </c>
      <c r="AAB14" s="23" t="s">
        <v>196</v>
      </c>
      <c r="AAC14" s="23" t="s">
        <v>196</v>
      </c>
      <c r="AAD14" s="24" t="s">
        <v>196</v>
      </c>
      <c r="AAF14" s="22" t="s">
        <v>196</v>
      </c>
      <c r="AAG14" s="23" t="s">
        <v>196</v>
      </c>
      <c r="AAH14" s="23" t="s">
        <v>196</v>
      </c>
      <c r="AAI14" s="24" t="s">
        <v>196</v>
      </c>
      <c r="AAK14" s="22" t="s">
        <v>196</v>
      </c>
      <c r="AAL14" s="23" t="s">
        <v>196</v>
      </c>
      <c r="AAM14" s="23" t="s">
        <v>196</v>
      </c>
      <c r="AAN14" s="24" t="s">
        <v>196</v>
      </c>
      <c r="AAP14" s="22" t="s">
        <v>196</v>
      </c>
      <c r="AAQ14" s="23" t="s">
        <v>196</v>
      </c>
      <c r="AAR14" s="23" t="s">
        <v>196</v>
      </c>
      <c r="AAS14" s="24" t="s">
        <v>196</v>
      </c>
      <c r="AAU14" s="22" t="s">
        <v>196</v>
      </c>
      <c r="AAV14" s="23" t="s">
        <v>196</v>
      </c>
      <c r="AAW14" s="23" t="s">
        <v>196</v>
      </c>
      <c r="AAX14" s="24" t="s">
        <v>196</v>
      </c>
      <c r="AAZ14" s="22" t="s">
        <v>196</v>
      </c>
      <c r="ABA14" s="23" t="s">
        <v>196</v>
      </c>
      <c r="ABB14" s="23" t="s">
        <v>196</v>
      </c>
      <c r="ABC14" s="24" t="s">
        <v>196</v>
      </c>
      <c r="ABE14" s="22" t="s">
        <v>196</v>
      </c>
      <c r="ABF14" s="23" t="s">
        <v>196</v>
      </c>
      <c r="ABG14" s="23" t="s">
        <v>196</v>
      </c>
      <c r="ABH14" s="24" t="s">
        <v>196</v>
      </c>
      <c r="ABJ14" s="22" t="s">
        <v>196</v>
      </c>
      <c r="ABK14" s="23" t="s">
        <v>196</v>
      </c>
      <c r="ABL14" s="23" t="s">
        <v>196</v>
      </c>
      <c r="ABM14" s="24" t="s">
        <v>196</v>
      </c>
      <c r="ABO14" s="22" t="s">
        <v>196</v>
      </c>
      <c r="ABP14" s="23" t="s">
        <v>196</v>
      </c>
      <c r="ABQ14" s="23" t="s">
        <v>196</v>
      </c>
      <c r="ABR14" s="24" t="s">
        <v>196</v>
      </c>
      <c r="ABT14" s="22" t="s">
        <v>196</v>
      </c>
      <c r="ABU14" s="23" t="s">
        <v>196</v>
      </c>
      <c r="ABV14" s="23" t="s">
        <v>196</v>
      </c>
      <c r="ABW14" s="24" t="s">
        <v>196</v>
      </c>
      <c r="ABY14" s="22" t="s">
        <v>196</v>
      </c>
      <c r="ABZ14" s="23" t="s">
        <v>196</v>
      </c>
      <c r="ACA14" s="23" t="s">
        <v>196</v>
      </c>
      <c r="ACB14" s="24" t="s">
        <v>196</v>
      </c>
      <c r="ACD14" s="22" t="s">
        <v>196</v>
      </c>
      <c r="ACE14" s="23" t="s">
        <v>196</v>
      </c>
      <c r="ACF14" s="23" t="s">
        <v>196</v>
      </c>
      <c r="ACG14" s="24" t="s">
        <v>196</v>
      </c>
      <c r="ACI14" s="22" t="s">
        <v>196</v>
      </c>
      <c r="ACJ14" s="23" t="s">
        <v>196</v>
      </c>
      <c r="ACK14" s="23" t="s">
        <v>196</v>
      </c>
      <c r="ACL14" s="24" t="s">
        <v>196</v>
      </c>
      <c r="ACN14" s="22" t="s">
        <v>196</v>
      </c>
      <c r="ACO14" s="23" t="s">
        <v>196</v>
      </c>
      <c r="ACP14" s="23" t="s">
        <v>196</v>
      </c>
      <c r="ACQ14" s="24" t="s">
        <v>196</v>
      </c>
      <c r="ACS14" s="22" t="s">
        <v>196</v>
      </c>
      <c r="ACT14" s="23" t="s">
        <v>196</v>
      </c>
      <c r="ACU14" s="23" t="s">
        <v>196</v>
      </c>
      <c r="ACV14" s="24" t="s">
        <v>196</v>
      </c>
      <c r="ACX14" s="22" t="s">
        <v>196</v>
      </c>
      <c r="ACY14" s="23" t="s">
        <v>196</v>
      </c>
      <c r="ACZ14" s="23" t="s">
        <v>196</v>
      </c>
      <c r="ADA14" s="24" t="s">
        <v>196</v>
      </c>
      <c r="ADC14" s="22" t="s">
        <v>196</v>
      </c>
      <c r="ADD14" s="23" t="s">
        <v>196</v>
      </c>
      <c r="ADE14" s="23" t="s">
        <v>196</v>
      </c>
      <c r="ADF14" s="24" t="s">
        <v>196</v>
      </c>
      <c r="ADH14" s="22" t="s">
        <v>196</v>
      </c>
      <c r="ADI14" s="23" t="s">
        <v>196</v>
      </c>
      <c r="ADJ14" s="23" t="s">
        <v>196</v>
      </c>
      <c r="ADK14" s="24" t="s">
        <v>196</v>
      </c>
      <c r="ADM14" s="22" t="s">
        <v>196</v>
      </c>
      <c r="ADN14" s="23" t="s">
        <v>196</v>
      </c>
      <c r="ADO14" s="23" t="s">
        <v>196</v>
      </c>
      <c r="ADP14" s="24" t="s">
        <v>196</v>
      </c>
      <c r="ADR14" s="22" t="s">
        <v>196</v>
      </c>
      <c r="ADS14" s="23" t="s">
        <v>196</v>
      </c>
      <c r="ADT14" s="23" t="s">
        <v>196</v>
      </c>
      <c r="ADU14" s="24" t="s">
        <v>196</v>
      </c>
      <c r="ADW14" s="22" t="s">
        <v>196</v>
      </c>
      <c r="ADX14" s="23" t="s">
        <v>196</v>
      </c>
      <c r="ADY14" s="23" t="s">
        <v>196</v>
      </c>
      <c r="ADZ14" s="24" t="s">
        <v>196</v>
      </c>
      <c r="AEB14" s="22" t="s">
        <v>196</v>
      </c>
      <c r="AEC14" s="23" t="s">
        <v>196</v>
      </c>
      <c r="AED14" s="23" t="s">
        <v>196</v>
      </c>
      <c r="AEE14" s="24" t="s">
        <v>196</v>
      </c>
      <c r="AEG14" s="22" t="s">
        <v>196</v>
      </c>
      <c r="AEH14" s="23" t="s">
        <v>196</v>
      </c>
      <c r="AEI14" s="23" t="s">
        <v>196</v>
      </c>
      <c r="AEJ14" s="24" t="s">
        <v>196</v>
      </c>
      <c r="AEL14" s="22" t="s">
        <v>196</v>
      </c>
      <c r="AEM14" s="23" t="s">
        <v>196</v>
      </c>
      <c r="AEN14" s="23" t="s">
        <v>196</v>
      </c>
      <c r="AEO14" s="24" t="s">
        <v>196</v>
      </c>
      <c r="AEQ14" s="22" t="s">
        <v>196</v>
      </c>
      <c r="AER14" s="23" t="s">
        <v>196</v>
      </c>
      <c r="AES14" s="23" t="s">
        <v>196</v>
      </c>
      <c r="AET14" s="24" t="s">
        <v>196</v>
      </c>
      <c r="AEV14" s="22" t="s">
        <v>196</v>
      </c>
      <c r="AEW14" s="23" t="s">
        <v>196</v>
      </c>
      <c r="AEX14" s="23" t="s">
        <v>196</v>
      </c>
      <c r="AEY14" s="24" t="s">
        <v>196</v>
      </c>
      <c r="AFA14" s="22" t="s">
        <v>196</v>
      </c>
      <c r="AFB14" s="23" t="s">
        <v>196</v>
      </c>
      <c r="AFC14" s="23" t="s">
        <v>196</v>
      </c>
      <c r="AFD14" s="24" t="s">
        <v>196</v>
      </c>
      <c r="AFF14" s="22" t="s">
        <v>196</v>
      </c>
      <c r="AFG14" s="23" t="s">
        <v>196</v>
      </c>
      <c r="AFH14" s="23" t="s">
        <v>196</v>
      </c>
      <c r="AFI14" s="24" t="s">
        <v>196</v>
      </c>
      <c r="AFK14" s="22" t="s">
        <v>196</v>
      </c>
      <c r="AFL14" s="23" t="s">
        <v>196</v>
      </c>
      <c r="AFM14" s="23" t="s">
        <v>196</v>
      </c>
      <c r="AFN14" s="24" t="s">
        <v>196</v>
      </c>
      <c r="AFP14" s="22" t="s">
        <v>196</v>
      </c>
      <c r="AFQ14" s="23" t="s">
        <v>196</v>
      </c>
      <c r="AFR14" s="23" t="s">
        <v>196</v>
      </c>
      <c r="AFS14" s="24" t="s">
        <v>196</v>
      </c>
      <c r="AFU14" s="22" t="s">
        <v>196</v>
      </c>
      <c r="AFV14" s="23" t="s">
        <v>196</v>
      </c>
      <c r="AFW14" s="23" t="s">
        <v>196</v>
      </c>
      <c r="AFX14" s="24" t="s">
        <v>196</v>
      </c>
      <c r="AFZ14" s="22" t="s">
        <v>196</v>
      </c>
      <c r="AGA14" s="23" t="s">
        <v>196</v>
      </c>
      <c r="AGB14" s="23" t="s">
        <v>196</v>
      </c>
      <c r="AGC14" s="24" t="s">
        <v>196</v>
      </c>
      <c r="AGE14" s="22" t="s">
        <v>196</v>
      </c>
      <c r="AGF14" s="23" t="s">
        <v>196</v>
      </c>
      <c r="AGG14" s="23" t="s">
        <v>196</v>
      </c>
      <c r="AGH14" s="24" t="s">
        <v>196</v>
      </c>
      <c r="AGJ14" s="22" t="s">
        <v>196</v>
      </c>
      <c r="AGK14" s="23" t="s">
        <v>196</v>
      </c>
      <c r="AGL14" s="23" t="s">
        <v>196</v>
      </c>
      <c r="AGM14" s="24" t="s">
        <v>196</v>
      </c>
      <c r="AGO14" s="22" t="s">
        <v>196</v>
      </c>
      <c r="AGP14" s="23" t="s">
        <v>196</v>
      </c>
      <c r="AGQ14" s="23" t="s">
        <v>196</v>
      </c>
      <c r="AGR14" s="24" t="s">
        <v>196</v>
      </c>
      <c r="AGT14" s="22" t="s">
        <v>196</v>
      </c>
      <c r="AGU14" s="23" t="s">
        <v>196</v>
      </c>
      <c r="AGV14" s="23" t="s">
        <v>196</v>
      </c>
      <c r="AGW14" s="24" t="s">
        <v>196</v>
      </c>
      <c r="AGY14" s="22" t="s">
        <v>196</v>
      </c>
      <c r="AGZ14" s="23" t="s">
        <v>196</v>
      </c>
      <c r="AHA14" s="23" t="s">
        <v>196</v>
      </c>
      <c r="AHB14" s="24" t="s">
        <v>196</v>
      </c>
      <c r="AHD14" s="22" t="s">
        <v>196</v>
      </c>
      <c r="AHE14" s="23" t="s">
        <v>196</v>
      </c>
      <c r="AHF14" s="23" t="s">
        <v>196</v>
      </c>
      <c r="AHG14" s="24" t="s">
        <v>196</v>
      </c>
      <c r="AHI14" s="22" t="s">
        <v>196</v>
      </c>
      <c r="AHJ14" s="23" t="s">
        <v>196</v>
      </c>
      <c r="AHK14" s="23" t="s">
        <v>196</v>
      </c>
      <c r="AHL14" s="24" t="s">
        <v>196</v>
      </c>
      <c r="AHN14" s="22" t="s">
        <v>196</v>
      </c>
      <c r="AHO14" s="23" t="s">
        <v>196</v>
      </c>
      <c r="AHP14" s="23" t="s">
        <v>196</v>
      </c>
      <c r="AHQ14" s="24" t="s">
        <v>196</v>
      </c>
      <c r="AHS14" s="22" t="s">
        <v>196</v>
      </c>
      <c r="AHT14" s="23" t="s">
        <v>196</v>
      </c>
      <c r="AHU14" s="23" t="s">
        <v>196</v>
      </c>
      <c r="AHV14" s="24" t="s">
        <v>196</v>
      </c>
      <c r="AHX14" s="22" t="s">
        <v>196</v>
      </c>
      <c r="AHY14" s="23" t="s">
        <v>196</v>
      </c>
      <c r="AHZ14" s="23" t="s">
        <v>196</v>
      </c>
      <c r="AIA14" s="24" t="s">
        <v>196</v>
      </c>
      <c r="AIC14" s="22" t="s">
        <v>196</v>
      </c>
      <c r="AID14" s="23" t="s">
        <v>196</v>
      </c>
      <c r="AIE14" s="23" t="s">
        <v>196</v>
      </c>
      <c r="AIF14" s="24" t="s">
        <v>196</v>
      </c>
      <c r="AIH14" s="22" t="s">
        <v>196</v>
      </c>
      <c r="AII14" s="23" t="s">
        <v>196</v>
      </c>
      <c r="AIJ14" s="23" t="s">
        <v>196</v>
      </c>
      <c r="AIK14" s="24" t="s">
        <v>196</v>
      </c>
      <c r="AIM14" s="22" t="s">
        <v>196</v>
      </c>
      <c r="AIN14" s="23" t="s">
        <v>196</v>
      </c>
      <c r="AIO14" s="23" t="s">
        <v>196</v>
      </c>
      <c r="AIP14" s="24" t="s">
        <v>196</v>
      </c>
      <c r="AIR14" s="22" t="s">
        <v>196</v>
      </c>
      <c r="AIS14" s="23" t="s">
        <v>196</v>
      </c>
      <c r="AIT14" s="23" t="s">
        <v>196</v>
      </c>
      <c r="AIU14" s="24" t="s">
        <v>196</v>
      </c>
      <c r="AIW14" s="22" t="s">
        <v>196</v>
      </c>
      <c r="AIX14" s="23" t="s">
        <v>196</v>
      </c>
      <c r="AIY14" s="23" t="s">
        <v>196</v>
      </c>
      <c r="AIZ14" s="24" t="s">
        <v>196</v>
      </c>
      <c r="AJB14" s="22" t="s">
        <v>196</v>
      </c>
      <c r="AJC14" s="23" t="s">
        <v>196</v>
      </c>
      <c r="AJD14" s="23" t="s">
        <v>196</v>
      </c>
      <c r="AJE14" s="24" t="s">
        <v>196</v>
      </c>
      <c r="AJG14" s="22" t="s">
        <v>196</v>
      </c>
      <c r="AJH14" s="23" t="s">
        <v>196</v>
      </c>
      <c r="AJI14" s="23" t="s">
        <v>196</v>
      </c>
      <c r="AJJ14" s="24" t="s">
        <v>196</v>
      </c>
      <c r="AJL14" s="22" t="s">
        <v>196</v>
      </c>
      <c r="AJM14" s="23" t="s">
        <v>196</v>
      </c>
      <c r="AJN14" s="23" t="s">
        <v>196</v>
      </c>
      <c r="AJO14" s="24" t="s">
        <v>196</v>
      </c>
      <c r="AJQ14" s="22" t="s">
        <v>196</v>
      </c>
      <c r="AJR14" s="23" t="s">
        <v>196</v>
      </c>
      <c r="AJS14" s="23" t="s">
        <v>196</v>
      </c>
      <c r="AJT14" s="24" t="s">
        <v>196</v>
      </c>
      <c r="AJV14" s="22" t="s">
        <v>196</v>
      </c>
      <c r="AJW14" s="23" t="s">
        <v>196</v>
      </c>
      <c r="AJX14" s="23" t="s">
        <v>196</v>
      </c>
      <c r="AJY14" s="24" t="s">
        <v>196</v>
      </c>
    </row>
    <row r="15">
      <c r="A15" s="13"/>
      <c r="B15" s="7" t="s">
        <v>196</v>
      </c>
    </row>
    <row r="16">
      <c r="A16" s="13"/>
      <c r="B16" s="25" t="s">
        <v>204</v>
      </c>
      <c r="C16" s="26">
        <v>40.0</v>
      </c>
      <c r="D16" s="26">
        <v>3.0</v>
      </c>
      <c r="E16" s="26">
        <v>6.0</v>
      </c>
      <c r="F16" s="27">
        <v>31.0</v>
      </c>
      <c r="H16" s="28">
        <v>40.0</v>
      </c>
      <c r="I16" s="26">
        <v>8.0</v>
      </c>
      <c r="J16" s="26">
        <v>8.0</v>
      </c>
      <c r="K16" s="27">
        <v>24.0</v>
      </c>
      <c r="M16" s="28">
        <v>40.0</v>
      </c>
      <c r="N16" s="26">
        <v>10.0</v>
      </c>
      <c r="O16" s="26">
        <v>10.0</v>
      </c>
      <c r="P16" s="27">
        <v>20.0</v>
      </c>
      <c r="R16" s="28">
        <v>40.0</v>
      </c>
      <c r="S16" s="26">
        <v>8.0</v>
      </c>
      <c r="T16" s="26">
        <v>13.0</v>
      </c>
      <c r="U16" s="27">
        <v>19.0</v>
      </c>
      <c r="W16" s="28">
        <v>40.0</v>
      </c>
      <c r="X16" s="26">
        <v>8.0</v>
      </c>
      <c r="Y16" s="26">
        <v>10.0</v>
      </c>
      <c r="Z16" s="27">
        <v>22.0</v>
      </c>
      <c r="AB16" s="28">
        <v>40.0</v>
      </c>
      <c r="AC16" s="26">
        <v>1.0</v>
      </c>
      <c r="AD16" s="26">
        <v>13.0</v>
      </c>
      <c r="AE16" s="27">
        <v>26.0</v>
      </c>
      <c r="AG16" s="28">
        <v>40.0</v>
      </c>
      <c r="AH16" s="26">
        <v>4.0</v>
      </c>
      <c r="AI16" s="26">
        <v>17.0</v>
      </c>
      <c r="AJ16" s="27">
        <v>19.0</v>
      </c>
      <c r="AL16" s="28">
        <v>40.0</v>
      </c>
      <c r="AM16" s="26">
        <v>5.0</v>
      </c>
      <c r="AN16" s="26">
        <v>3.0</v>
      </c>
      <c r="AO16" s="27">
        <v>32.0</v>
      </c>
      <c r="AQ16" s="28">
        <v>40.0</v>
      </c>
      <c r="AR16" s="26">
        <v>3.0</v>
      </c>
      <c r="AS16" s="26">
        <v>9.0</v>
      </c>
      <c r="AT16" s="27">
        <v>28.0</v>
      </c>
      <c r="AV16" s="28">
        <v>40.0</v>
      </c>
      <c r="AW16" s="26">
        <v>5.0</v>
      </c>
      <c r="AX16" s="26">
        <v>9.0</v>
      </c>
      <c r="AY16" s="27">
        <v>26.0</v>
      </c>
      <c r="BA16" s="28">
        <v>40.0</v>
      </c>
      <c r="BB16" s="26">
        <v>2.0</v>
      </c>
      <c r="BC16" s="26">
        <v>16.0</v>
      </c>
      <c r="BD16" s="27">
        <v>22.0</v>
      </c>
      <c r="BF16" s="28">
        <v>40.0</v>
      </c>
      <c r="BG16" s="26">
        <v>7.0</v>
      </c>
      <c r="BH16" s="26">
        <v>18.0</v>
      </c>
      <c r="BI16" s="27">
        <v>15.0</v>
      </c>
      <c r="BK16" s="28">
        <v>40.0</v>
      </c>
      <c r="BL16" s="26">
        <v>6.0</v>
      </c>
      <c r="BM16" s="26">
        <v>9.0</v>
      </c>
      <c r="BN16" s="27">
        <v>25.0</v>
      </c>
      <c r="BP16" s="28">
        <v>40.0</v>
      </c>
      <c r="BQ16" s="26">
        <v>9.0</v>
      </c>
      <c r="BR16" s="26">
        <v>7.0</v>
      </c>
      <c r="BS16" s="27">
        <v>24.0</v>
      </c>
      <c r="BU16" s="28">
        <v>40.0</v>
      </c>
      <c r="BV16" s="26">
        <v>3.0</v>
      </c>
      <c r="BW16" s="26">
        <v>17.0</v>
      </c>
      <c r="BX16" s="27">
        <v>20.0</v>
      </c>
      <c r="BZ16" s="28">
        <v>40.0</v>
      </c>
      <c r="CA16" s="26">
        <v>5.0</v>
      </c>
      <c r="CB16" s="26">
        <v>9.0</v>
      </c>
      <c r="CC16" s="27">
        <v>26.0</v>
      </c>
      <c r="CE16" s="28">
        <v>40.0</v>
      </c>
      <c r="CF16" s="26">
        <v>5.0</v>
      </c>
      <c r="CG16" s="26">
        <v>6.0</v>
      </c>
      <c r="CH16" s="27">
        <v>29.0</v>
      </c>
      <c r="CJ16" s="28">
        <v>40.0</v>
      </c>
      <c r="CK16" s="26">
        <v>1.0</v>
      </c>
      <c r="CL16" s="26">
        <v>13.0</v>
      </c>
      <c r="CM16" s="27">
        <v>26.0</v>
      </c>
      <c r="CO16" s="28">
        <v>40.0</v>
      </c>
      <c r="CP16" s="26">
        <v>2.0</v>
      </c>
      <c r="CQ16" s="26">
        <v>13.0</v>
      </c>
      <c r="CR16" s="27">
        <v>25.0</v>
      </c>
      <c r="CT16" s="28">
        <v>40.0</v>
      </c>
      <c r="CU16" s="26">
        <v>8.0</v>
      </c>
      <c r="CV16" s="26">
        <v>13.0</v>
      </c>
      <c r="CW16" s="27">
        <v>19.0</v>
      </c>
      <c r="CY16" s="28">
        <v>40.0</v>
      </c>
      <c r="CZ16" s="26">
        <v>3.0</v>
      </c>
      <c r="DA16" s="26">
        <v>7.0</v>
      </c>
      <c r="DB16" s="27">
        <v>30.0</v>
      </c>
      <c r="DD16" s="28">
        <v>40.0</v>
      </c>
      <c r="DE16" s="26">
        <v>7.0</v>
      </c>
      <c r="DF16" s="26">
        <v>7.0</v>
      </c>
      <c r="DG16" s="27">
        <v>26.0</v>
      </c>
      <c r="DI16" s="28">
        <v>40.0</v>
      </c>
      <c r="DJ16" s="26">
        <v>3.0</v>
      </c>
      <c r="DK16" s="26">
        <v>14.0</v>
      </c>
      <c r="DL16" s="27">
        <v>23.0</v>
      </c>
      <c r="DN16" s="28">
        <v>40.0</v>
      </c>
      <c r="DO16" s="26">
        <v>1.0</v>
      </c>
      <c r="DP16" s="26">
        <v>8.0</v>
      </c>
      <c r="DQ16" s="27">
        <v>31.0</v>
      </c>
      <c r="DS16" s="28">
        <v>40.0</v>
      </c>
      <c r="DT16" s="26">
        <v>3.0</v>
      </c>
      <c r="DU16" s="26">
        <v>11.0</v>
      </c>
      <c r="DV16" s="27">
        <v>26.0</v>
      </c>
      <c r="DX16" s="28">
        <v>40.0</v>
      </c>
      <c r="DY16" s="26">
        <v>5.0</v>
      </c>
      <c r="DZ16" s="26">
        <v>12.0</v>
      </c>
      <c r="EA16" s="27">
        <v>23.0</v>
      </c>
      <c r="EC16" s="28">
        <v>40.0</v>
      </c>
      <c r="ED16" s="26">
        <v>5.0</v>
      </c>
      <c r="EE16" s="26">
        <v>13.0</v>
      </c>
      <c r="EF16" s="27">
        <v>22.0</v>
      </c>
      <c r="EH16" s="28">
        <v>40.0</v>
      </c>
      <c r="EI16" s="26">
        <v>9.0</v>
      </c>
      <c r="EJ16" s="26">
        <v>16.0</v>
      </c>
      <c r="EK16" s="27">
        <v>15.0</v>
      </c>
      <c r="EM16" s="28">
        <v>40.0</v>
      </c>
      <c r="EN16" s="26">
        <v>7.0</v>
      </c>
      <c r="EO16" s="26">
        <v>11.0</v>
      </c>
      <c r="EP16" s="27">
        <v>22.0</v>
      </c>
      <c r="ER16" s="28">
        <v>40.0</v>
      </c>
      <c r="ES16" s="26">
        <v>8.0</v>
      </c>
      <c r="ET16" s="26">
        <v>16.0</v>
      </c>
      <c r="EU16" s="27">
        <v>16.0</v>
      </c>
      <c r="EW16" s="28">
        <v>40.0</v>
      </c>
      <c r="EX16" s="26">
        <v>2.0</v>
      </c>
      <c r="EY16" s="26">
        <v>20.0</v>
      </c>
      <c r="EZ16" s="27">
        <v>18.0</v>
      </c>
      <c r="FB16" s="28">
        <v>40.0</v>
      </c>
      <c r="FC16" s="26">
        <v>5.0</v>
      </c>
      <c r="FD16" s="26">
        <v>8.0</v>
      </c>
      <c r="FE16" s="27">
        <v>27.0</v>
      </c>
      <c r="FG16" s="28">
        <v>40.0</v>
      </c>
      <c r="FH16" s="26">
        <v>5.0</v>
      </c>
      <c r="FI16" s="26">
        <v>10.0</v>
      </c>
      <c r="FJ16" s="27">
        <v>25.0</v>
      </c>
      <c r="FL16" s="28">
        <v>40.0</v>
      </c>
      <c r="FM16" s="26">
        <v>4.0</v>
      </c>
      <c r="FN16" s="26">
        <v>8.0</v>
      </c>
      <c r="FO16" s="27">
        <v>28.0</v>
      </c>
      <c r="FQ16" s="28">
        <v>40.0</v>
      </c>
      <c r="FR16" s="26">
        <v>4.0</v>
      </c>
      <c r="FS16" s="26">
        <v>15.0</v>
      </c>
      <c r="FT16" s="27">
        <v>21.0</v>
      </c>
      <c r="FV16" s="28">
        <v>40.0</v>
      </c>
      <c r="FW16" s="26">
        <v>6.0</v>
      </c>
      <c r="FX16" s="26">
        <v>19.0</v>
      </c>
      <c r="FY16" s="27">
        <v>15.0</v>
      </c>
      <c r="GA16" s="28">
        <v>40.0</v>
      </c>
      <c r="GB16" s="26">
        <v>7.0</v>
      </c>
      <c r="GC16" s="26">
        <v>10.0</v>
      </c>
      <c r="GD16" s="27">
        <v>23.0</v>
      </c>
      <c r="GF16" s="28">
        <v>40.0</v>
      </c>
      <c r="GG16" s="26">
        <v>8.0</v>
      </c>
      <c r="GH16" s="26">
        <v>10.0</v>
      </c>
      <c r="GI16" s="27">
        <v>22.0</v>
      </c>
      <c r="GK16" s="28">
        <v>40.0</v>
      </c>
      <c r="GL16" s="26">
        <v>4.0</v>
      </c>
      <c r="GM16" s="26">
        <v>14.0</v>
      </c>
      <c r="GN16" s="27">
        <v>22.0</v>
      </c>
      <c r="GP16" s="28">
        <v>40.0</v>
      </c>
      <c r="GQ16" s="26">
        <v>8.0</v>
      </c>
      <c r="GR16" s="26">
        <v>6.0</v>
      </c>
      <c r="GS16" s="27">
        <v>26.0</v>
      </c>
      <c r="GU16" s="28">
        <v>40.0</v>
      </c>
      <c r="GV16" s="26">
        <v>3.0</v>
      </c>
      <c r="GW16" s="26">
        <v>14.0</v>
      </c>
      <c r="GX16" s="27">
        <v>23.0</v>
      </c>
      <c r="GZ16" s="28">
        <v>40.0</v>
      </c>
      <c r="HA16" s="26">
        <v>5.0</v>
      </c>
      <c r="HB16" s="26">
        <v>6.0</v>
      </c>
      <c r="HC16" s="27">
        <v>29.0</v>
      </c>
      <c r="HE16" s="28">
        <v>40.0</v>
      </c>
      <c r="HF16" s="26">
        <v>8.0</v>
      </c>
      <c r="HG16" s="26">
        <v>9.0</v>
      </c>
      <c r="HH16" s="27">
        <v>23.0</v>
      </c>
      <c r="HJ16" s="28">
        <v>40.0</v>
      </c>
      <c r="HK16" s="26">
        <v>6.0</v>
      </c>
      <c r="HL16" s="26">
        <v>20.0</v>
      </c>
      <c r="HM16" s="27">
        <v>14.0</v>
      </c>
      <c r="HO16" s="28">
        <v>40.0</v>
      </c>
      <c r="HP16" s="26">
        <v>5.0</v>
      </c>
      <c r="HQ16" s="26">
        <v>13.0</v>
      </c>
      <c r="HR16" s="27">
        <v>22.0</v>
      </c>
      <c r="HT16" s="28">
        <v>40.0</v>
      </c>
      <c r="HU16" s="26">
        <v>6.0</v>
      </c>
      <c r="HV16" s="26">
        <v>18.0</v>
      </c>
      <c r="HW16" s="27">
        <v>16.0</v>
      </c>
      <c r="HY16" s="28">
        <v>40.0</v>
      </c>
      <c r="HZ16" s="26">
        <v>3.0</v>
      </c>
      <c r="IA16" s="26">
        <v>16.0</v>
      </c>
      <c r="IB16" s="27">
        <v>21.0</v>
      </c>
      <c r="ID16" s="28">
        <v>40.0</v>
      </c>
      <c r="IE16" s="26">
        <v>4.0</v>
      </c>
      <c r="IF16" s="26">
        <v>8.0</v>
      </c>
      <c r="IG16" s="27">
        <v>28.0</v>
      </c>
      <c r="II16" s="28">
        <v>40.0</v>
      </c>
      <c r="IJ16" s="26">
        <v>12.0</v>
      </c>
      <c r="IK16" s="26">
        <v>10.0</v>
      </c>
      <c r="IL16" s="27">
        <v>18.0</v>
      </c>
      <c r="IN16" s="28">
        <v>40.0</v>
      </c>
      <c r="IO16" s="26">
        <v>13.0</v>
      </c>
      <c r="IP16" s="26">
        <v>6.0</v>
      </c>
      <c r="IQ16" s="27">
        <v>21.0</v>
      </c>
      <c r="IS16" s="28">
        <v>40.0</v>
      </c>
      <c r="IT16" s="26">
        <v>8.0</v>
      </c>
      <c r="IU16" s="26">
        <v>6.0</v>
      </c>
      <c r="IV16" s="27">
        <v>26.0</v>
      </c>
      <c r="IX16" s="28">
        <v>40.0</v>
      </c>
      <c r="IY16" s="26">
        <v>10.0</v>
      </c>
      <c r="IZ16" s="26">
        <v>15.0</v>
      </c>
      <c r="JA16" s="27">
        <v>15.0</v>
      </c>
      <c r="JC16" s="28">
        <v>40.0</v>
      </c>
      <c r="JD16" s="26">
        <v>9.0</v>
      </c>
      <c r="JE16" s="26">
        <v>6.0</v>
      </c>
      <c r="JF16" s="27">
        <v>25.0</v>
      </c>
      <c r="JH16" s="28">
        <v>40.0</v>
      </c>
      <c r="JI16" s="26">
        <v>4.0</v>
      </c>
      <c r="JJ16" s="26">
        <v>10.0</v>
      </c>
      <c r="JK16" s="27">
        <v>26.0</v>
      </c>
      <c r="JM16" s="28">
        <v>40.0</v>
      </c>
      <c r="JN16" s="26">
        <v>16.0</v>
      </c>
      <c r="JO16" s="26">
        <v>6.0</v>
      </c>
      <c r="JP16" s="27">
        <v>18.0</v>
      </c>
      <c r="JR16" s="28">
        <v>40.0</v>
      </c>
      <c r="JS16" s="26">
        <v>12.0</v>
      </c>
      <c r="JT16" s="26">
        <v>7.0</v>
      </c>
      <c r="JU16" s="27">
        <v>21.0</v>
      </c>
      <c r="JW16" s="28">
        <v>40.0</v>
      </c>
      <c r="JX16" s="26">
        <v>7.0</v>
      </c>
      <c r="JY16" s="26">
        <v>13.0</v>
      </c>
      <c r="JZ16" s="27">
        <v>20.0</v>
      </c>
      <c r="KB16" s="28">
        <v>40.0</v>
      </c>
      <c r="KC16" s="26">
        <v>2.0</v>
      </c>
      <c r="KD16" s="26">
        <v>12.0</v>
      </c>
      <c r="KE16" s="27">
        <v>26.0</v>
      </c>
      <c r="KG16" s="28">
        <v>40.0</v>
      </c>
      <c r="KH16" s="26">
        <v>8.0</v>
      </c>
      <c r="KI16" s="26">
        <v>10.0</v>
      </c>
      <c r="KJ16" s="27">
        <v>22.0</v>
      </c>
      <c r="KL16" s="28">
        <v>40.0</v>
      </c>
      <c r="KM16" s="26">
        <v>2.0</v>
      </c>
      <c r="KN16" s="26">
        <v>18.0</v>
      </c>
      <c r="KO16" s="27">
        <v>20.0</v>
      </c>
      <c r="KQ16" s="28">
        <v>40.0</v>
      </c>
      <c r="KR16" s="26">
        <v>1.0</v>
      </c>
      <c r="KS16" s="26">
        <v>10.0</v>
      </c>
      <c r="KT16" s="27">
        <v>29.0</v>
      </c>
      <c r="KV16" s="28">
        <v>40.0</v>
      </c>
      <c r="KW16" s="26">
        <v>1.0</v>
      </c>
      <c r="KX16" s="26">
        <v>15.0</v>
      </c>
      <c r="KY16" s="27">
        <v>24.0</v>
      </c>
      <c r="LA16" s="28">
        <v>40.0</v>
      </c>
      <c r="LB16" s="26">
        <v>2.0</v>
      </c>
      <c r="LC16" s="26">
        <v>12.0</v>
      </c>
      <c r="LD16" s="27">
        <v>26.0</v>
      </c>
      <c r="LF16" s="28">
        <v>40.0</v>
      </c>
      <c r="LG16" s="26">
        <v>3.0</v>
      </c>
      <c r="LH16" s="26">
        <v>13.0</v>
      </c>
      <c r="LI16" s="27">
        <v>24.0</v>
      </c>
      <c r="LK16" s="28">
        <v>40.0</v>
      </c>
      <c r="LL16" s="26">
        <v>3.0</v>
      </c>
      <c r="LM16" s="26">
        <v>16.0</v>
      </c>
      <c r="LN16" s="27">
        <v>21.0</v>
      </c>
      <c r="LP16" s="28">
        <v>40.0</v>
      </c>
      <c r="LQ16" s="26">
        <v>1.0</v>
      </c>
      <c r="LR16" s="26">
        <v>10.0</v>
      </c>
      <c r="LS16" s="27">
        <v>29.0</v>
      </c>
      <c r="LU16" s="28">
        <v>40.0</v>
      </c>
      <c r="LV16" s="26">
        <v>5.0</v>
      </c>
      <c r="LW16" s="26">
        <v>13.0</v>
      </c>
      <c r="LX16" s="27">
        <v>22.0</v>
      </c>
      <c r="LZ16" s="28">
        <v>40.0</v>
      </c>
      <c r="MA16" s="26">
        <v>1.0</v>
      </c>
      <c r="MB16" s="26">
        <v>17.0</v>
      </c>
      <c r="MC16" s="27">
        <v>22.0</v>
      </c>
      <c r="ME16" s="28">
        <v>40.0</v>
      </c>
      <c r="MF16" s="26">
        <v>1.0</v>
      </c>
      <c r="MG16" s="26">
        <v>9.0</v>
      </c>
      <c r="MH16" s="27">
        <v>30.0</v>
      </c>
      <c r="MJ16" s="28">
        <v>40.0</v>
      </c>
      <c r="MK16" s="26">
        <v>2.0</v>
      </c>
      <c r="ML16" s="26">
        <v>16.0</v>
      </c>
      <c r="MM16" s="27">
        <v>22.0</v>
      </c>
      <c r="MO16" s="28">
        <v>40.0</v>
      </c>
      <c r="MP16" s="26">
        <v>4.0</v>
      </c>
      <c r="MQ16" s="26">
        <v>12.0</v>
      </c>
      <c r="MR16" s="27">
        <v>24.0</v>
      </c>
      <c r="MT16" s="28">
        <v>40.0</v>
      </c>
      <c r="MU16" s="26">
        <v>4.0</v>
      </c>
      <c r="MV16" s="26">
        <v>16.0</v>
      </c>
      <c r="MW16" s="27">
        <v>20.0</v>
      </c>
      <c r="MY16" s="28">
        <v>40.0</v>
      </c>
      <c r="MZ16" s="26">
        <v>11.0</v>
      </c>
      <c r="NA16" s="26">
        <v>10.0</v>
      </c>
      <c r="NB16" s="27">
        <v>19.0</v>
      </c>
      <c r="ND16" s="28">
        <v>40.0</v>
      </c>
      <c r="NE16" s="26">
        <v>12.0</v>
      </c>
      <c r="NF16" s="26">
        <v>10.0</v>
      </c>
      <c r="NG16" s="27">
        <v>18.0</v>
      </c>
      <c r="NI16" s="28">
        <v>40.0</v>
      </c>
      <c r="NJ16" s="26">
        <v>5.0</v>
      </c>
      <c r="NK16" s="26">
        <v>12.0</v>
      </c>
      <c r="NL16" s="27">
        <v>23.0</v>
      </c>
      <c r="NN16" s="28">
        <v>40.0</v>
      </c>
      <c r="NO16" s="26">
        <v>17.0</v>
      </c>
      <c r="NP16" s="26">
        <v>7.0</v>
      </c>
      <c r="NQ16" s="27">
        <v>16.0</v>
      </c>
      <c r="NS16" s="28">
        <v>40.0</v>
      </c>
      <c r="NT16" s="26">
        <v>6.0</v>
      </c>
      <c r="NU16" s="26">
        <v>12.0</v>
      </c>
      <c r="NV16" s="27">
        <v>22.0</v>
      </c>
      <c r="NX16" s="28">
        <v>40.0</v>
      </c>
      <c r="NY16" s="26">
        <v>10.0</v>
      </c>
      <c r="NZ16" s="26">
        <v>5.0</v>
      </c>
      <c r="OA16" s="27">
        <v>25.0</v>
      </c>
      <c r="OC16" s="28">
        <v>40.0</v>
      </c>
      <c r="OD16" s="26">
        <v>11.0</v>
      </c>
      <c r="OE16" s="26">
        <v>6.0</v>
      </c>
      <c r="OF16" s="27">
        <v>23.0</v>
      </c>
      <c r="OH16" s="28">
        <v>40.0</v>
      </c>
      <c r="OI16" s="26">
        <v>10.0</v>
      </c>
      <c r="OJ16" s="26">
        <v>9.0</v>
      </c>
      <c r="OK16" s="27">
        <v>21.0</v>
      </c>
      <c r="OM16" s="28">
        <v>40.0</v>
      </c>
      <c r="ON16" s="26">
        <v>4.0</v>
      </c>
      <c r="OO16" s="26">
        <v>11.0</v>
      </c>
      <c r="OP16" s="27">
        <v>25.0</v>
      </c>
      <c r="OR16" s="28">
        <v>40.0</v>
      </c>
      <c r="OS16" s="26">
        <v>3.0</v>
      </c>
      <c r="OT16" s="26">
        <v>15.0</v>
      </c>
      <c r="OU16" s="27">
        <v>22.0</v>
      </c>
      <c r="OW16" s="28">
        <v>40.0</v>
      </c>
      <c r="OX16" s="26">
        <v>3.0</v>
      </c>
      <c r="OY16" s="26">
        <v>10.0</v>
      </c>
      <c r="OZ16" s="27">
        <v>27.0</v>
      </c>
      <c r="PB16" s="28">
        <v>40.0</v>
      </c>
      <c r="PC16" s="26">
        <v>1.0</v>
      </c>
      <c r="PD16" s="26">
        <v>22.0</v>
      </c>
      <c r="PE16" s="27">
        <v>17.0</v>
      </c>
      <c r="PG16" s="28">
        <v>40.0</v>
      </c>
      <c r="PH16" s="26">
        <v>2.0</v>
      </c>
      <c r="PI16" s="26">
        <v>7.0</v>
      </c>
      <c r="PJ16" s="27">
        <v>31.0</v>
      </c>
      <c r="PL16" s="28">
        <v>40.0</v>
      </c>
      <c r="PM16" s="26">
        <v>7.0</v>
      </c>
      <c r="PN16" s="26">
        <v>6.0</v>
      </c>
      <c r="PO16" s="27">
        <v>27.0</v>
      </c>
      <c r="PQ16" s="28">
        <v>40.0</v>
      </c>
      <c r="PR16" s="26">
        <v>5.0</v>
      </c>
      <c r="PS16" s="26">
        <v>9.0</v>
      </c>
      <c r="PT16" s="27">
        <v>26.0</v>
      </c>
      <c r="PV16" s="28">
        <v>40.0</v>
      </c>
      <c r="PW16" s="26">
        <v>3.0</v>
      </c>
      <c r="PX16" s="26">
        <v>14.0</v>
      </c>
      <c r="PY16" s="27">
        <v>23.0</v>
      </c>
      <c r="QA16" s="28">
        <v>40.0</v>
      </c>
      <c r="QB16" s="26">
        <v>3.0</v>
      </c>
      <c r="QC16" s="26">
        <v>17.0</v>
      </c>
      <c r="QD16" s="27">
        <v>20.0</v>
      </c>
      <c r="QF16" s="28">
        <v>40.0</v>
      </c>
      <c r="QG16" s="26">
        <v>4.0</v>
      </c>
      <c r="QH16" s="26">
        <v>12.0</v>
      </c>
      <c r="QI16" s="27">
        <v>24.0</v>
      </c>
      <c r="QK16" s="28">
        <v>40.0</v>
      </c>
      <c r="QL16" s="26">
        <v>4.0</v>
      </c>
      <c r="QM16" s="26">
        <v>11.0</v>
      </c>
      <c r="QN16" s="27">
        <v>25.0</v>
      </c>
      <c r="QP16" s="28">
        <v>40.0</v>
      </c>
      <c r="QQ16" s="26">
        <v>2.0</v>
      </c>
      <c r="QR16" s="26">
        <v>12.0</v>
      </c>
      <c r="QS16" s="27">
        <v>26.0</v>
      </c>
      <c r="QU16" s="28">
        <v>40.0</v>
      </c>
      <c r="QV16" s="26">
        <v>5.0</v>
      </c>
      <c r="QW16" s="26">
        <v>9.0</v>
      </c>
      <c r="QX16" s="27">
        <v>26.0</v>
      </c>
      <c r="QZ16" s="28">
        <v>40.0</v>
      </c>
      <c r="RA16" s="26">
        <v>2.0</v>
      </c>
      <c r="RB16" s="26">
        <v>14.0</v>
      </c>
      <c r="RC16" s="27">
        <v>24.0</v>
      </c>
      <c r="RE16" s="28">
        <v>40.0</v>
      </c>
      <c r="RF16" s="26">
        <v>4.0</v>
      </c>
      <c r="RG16" s="26">
        <v>7.0</v>
      </c>
      <c r="RH16" s="27">
        <v>29.0</v>
      </c>
      <c r="RJ16" s="28">
        <v>40.0</v>
      </c>
      <c r="RK16" s="26">
        <v>6.0</v>
      </c>
      <c r="RL16" s="26">
        <v>8.0</v>
      </c>
      <c r="RM16" s="27">
        <v>26.0</v>
      </c>
      <c r="RO16" s="28">
        <v>40.0</v>
      </c>
      <c r="RP16" s="26">
        <v>13.0</v>
      </c>
      <c r="RQ16" s="26">
        <v>7.0</v>
      </c>
      <c r="RR16" s="27">
        <v>20.0</v>
      </c>
      <c r="RT16" s="28">
        <v>40.0</v>
      </c>
      <c r="RU16" s="26">
        <v>7.0</v>
      </c>
      <c r="RV16" s="26">
        <v>13.0</v>
      </c>
      <c r="RW16" s="27">
        <v>20.0</v>
      </c>
      <c r="RY16" s="28">
        <v>40.0</v>
      </c>
      <c r="RZ16" s="26">
        <v>7.0</v>
      </c>
      <c r="SA16" s="26">
        <v>13.0</v>
      </c>
      <c r="SB16" s="27">
        <v>20.0</v>
      </c>
      <c r="SD16" s="28">
        <v>40.0</v>
      </c>
      <c r="SE16" s="26">
        <v>7.0</v>
      </c>
      <c r="SF16" s="26">
        <v>10.0</v>
      </c>
      <c r="SG16" s="27">
        <v>23.0</v>
      </c>
      <c r="SI16" s="28">
        <v>40.0</v>
      </c>
      <c r="SJ16" s="26">
        <v>5.0</v>
      </c>
      <c r="SK16" s="26">
        <v>12.0</v>
      </c>
      <c r="SL16" s="27">
        <v>23.0</v>
      </c>
      <c r="SN16" s="28">
        <v>40.0</v>
      </c>
      <c r="SO16" s="26">
        <v>9.0</v>
      </c>
      <c r="SP16" s="26">
        <v>5.0</v>
      </c>
      <c r="SQ16" s="27">
        <v>26.0</v>
      </c>
      <c r="SS16" s="28">
        <v>40.0</v>
      </c>
      <c r="ST16" s="26">
        <v>10.0</v>
      </c>
      <c r="SU16" s="26">
        <v>8.0</v>
      </c>
      <c r="SV16" s="27">
        <v>22.0</v>
      </c>
      <c r="SX16" s="28">
        <v>40.0</v>
      </c>
      <c r="SY16" s="26">
        <v>6.0</v>
      </c>
      <c r="SZ16" s="26">
        <v>7.0</v>
      </c>
      <c r="TA16" s="27">
        <v>27.0</v>
      </c>
      <c r="TC16" s="28">
        <v>40.0</v>
      </c>
      <c r="TD16" s="26">
        <v>4.0</v>
      </c>
      <c r="TE16" s="26">
        <v>13.0</v>
      </c>
      <c r="TF16" s="27">
        <v>23.0</v>
      </c>
      <c r="TH16" s="28">
        <v>40.0</v>
      </c>
      <c r="TI16" s="26">
        <v>3.0</v>
      </c>
      <c r="TJ16" s="26">
        <v>22.0</v>
      </c>
      <c r="TK16" s="27">
        <v>15.0</v>
      </c>
      <c r="TM16" s="28">
        <v>40.0</v>
      </c>
      <c r="TN16" s="26">
        <v>4.0</v>
      </c>
      <c r="TO16" s="26">
        <v>13.0</v>
      </c>
      <c r="TP16" s="27">
        <v>23.0</v>
      </c>
      <c r="TR16" s="28">
        <v>40.0</v>
      </c>
      <c r="TS16" s="26">
        <v>6.0</v>
      </c>
      <c r="TT16" s="26">
        <v>9.0</v>
      </c>
      <c r="TU16" s="27">
        <v>25.0</v>
      </c>
      <c r="TW16" s="28">
        <v>40.0</v>
      </c>
      <c r="TX16" s="26">
        <v>5.0</v>
      </c>
      <c r="TY16" s="26">
        <v>16.0</v>
      </c>
      <c r="TZ16" s="27">
        <v>19.0</v>
      </c>
      <c r="UB16" s="28">
        <v>40.0</v>
      </c>
      <c r="UC16" s="26">
        <v>1.0</v>
      </c>
      <c r="UD16" s="26">
        <v>10.0</v>
      </c>
      <c r="UE16" s="27">
        <v>29.0</v>
      </c>
      <c r="UG16" s="28">
        <v>40.0</v>
      </c>
      <c r="UH16" s="26">
        <v>2.0</v>
      </c>
      <c r="UI16" s="26">
        <v>21.0</v>
      </c>
      <c r="UJ16" s="27">
        <v>17.0</v>
      </c>
      <c r="UL16" s="28">
        <v>40.0</v>
      </c>
      <c r="UM16" s="26">
        <v>1.0</v>
      </c>
      <c r="UN16" s="26">
        <v>13.0</v>
      </c>
      <c r="UO16" s="27">
        <v>26.0</v>
      </c>
      <c r="UQ16" s="28">
        <v>40.0</v>
      </c>
      <c r="UR16" s="26">
        <v>1.0</v>
      </c>
      <c r="US16" s="26">
        <v>13.0</v>
      </c>
      <c r="UT16" s="27">
        <v>26.0</v>
      </c>
      <c r="UV16" s="28">
        <v>40.0</v>
      </c>
      <c r="UW16" s="26">
        <v>4.0</v>
      </c>
      <c r="UX16" s="26">
        <v>18.0</v>
      </c>
      <c r="UY16" s="27">
        <v>18.0</v>
      </c>
      <c r="VA16" s="28">
        <v>40.0</v>
      </c>
      <c r="VB16" s="26">
        <v>3.0</v>
      </c>
      <c r="VC16" s="26">
        <v>8.0</v>
      </c>
      <c r="VD16" s="27">
        <v>29.0</v>
      </c>
      <c r="VF16" s="28">
        <v>40.0</v>
      </c>
      <c r="VG16" s="26">
        <v>4.0</v>
      </c>
      <c r="VH16" s="26">
        <v>8.0</v>
      </c>
      <c r="VI16" s="27">
        <v>28.0</v>
      </c>
      <c r="VK16" s="28">
        <v>40.0</v>
      </c>
      <c r="VL16" s="26">
        <v>3.0</v>
      </c>
      <c r="VM16" s="26">
        <v>4.0</v>
      </c>
      <c r="VN16" s="27">
        <v>33.0</v>
      </c>
      <c r="VP16" s="28">
        <v>40.0</v>
      </c>
      <c r="VQ16" s="26">
        <v>3.0</v>
      </c>
      <c r="VR16" s="26">
        <v>11.0</v>
      </c>
      <c r="VS16" s="27">
        <v>26.0</v>
      </c>
      <c r="VU16" s="28">
        <v>40.0</v>
      </c>
      <c r="VV16" s="26">
        <v>2.0</v>
      </c>
      <c r="VW16" s="26">
        <v>15.0</v>
      </c>
      <c r="VX16" s="27">
        <v>23.0</v>
      </c>
      <c r="VZ16" s="28">
        <v>40.0</v>
      </c>
      <c r="WA16" s="26">
        <v>2.0</v>
      </c>
      <c r="WB16" s="26">
        <v>9.0</v>
      </c>
      <c r="WC16" s="27">
        <v>29.0</v>
      </c>
      <c r="WE16" s="28">
        <v>40.0</v>
      </c>
      <c r="WF16" s="26">
        <v>10.0</v>
      </c>
      <c r="WG16" s="26">
        <v>13.0</v>
      </c>
      <c r="WH16" s="27">
        <v>17.0</v>
      </c>
      <c r="WJ16" s="28">
        <v>40.0</v>
      </c>
      <c r="WK16" s="26">
        <v>3.0</v>
      </c>
      <c r="WL16" s="26">
        <v>19.0</v>
      </c>
      <c r="WM16" s="27">
        <v>18.0</v>
      </c>
      <c r="WO16" s="28">
        <v>40.0</v>
      </c>
      <c r="WP16" s="26">
        <v>10.0</v>
      </c>
      <c r="WQ16" s="26">
        <v>14.0</v>
      </c>
      <c r="WR16" s="27">
        <v>16.0</v>
      </c>
      <c r="WT16" s="28">
        <v>40.0</v>
      </c>
      <c r="WU16" s="26">
        <v>9.0</v>
      </c>
      <c r="WV16" s="26">
        <v>8.0</v>
      </c>
      <c r="WW16" s="27">
        <v>23.0</v>
      </c>
      <c r="WY16" s="28">
        <v>40.0</v>
      </c>
      <c r="WZ16" s="26">
        <v>1.0</v>
      </c>
      <c r="XA16" s="26">
        <v>11.0</v>
      </c>
      <c r="XB16" s="27">
        <v>28.0</v>
      </c>
      <c r="XD16" s="28">
        <v>40.0</v>
      </c>
      <c r="XE16" s="26">
        <v>10.0</v>
      </c>
      <c r="XF16" s="26">
        <v>10.0</v>
      </c>
      <c r="XG16" s="27">
        <v>20.0</v>
      </c>
      <c r="XI16" s="28">
        <v>40.0</v>
      </c>
      <c r="XJ16" s="26">
        <v>10.0</v>
      </c>
      <c r="XK16" s="26">
        <v>10.0</v>
      </c>
      <c r="XL16" s="27">
        <v>20.0</v>
      </c>
      <c r="XN16" s="28">
        <v>40.0</v>
      </c>
      <c r="XO16" s="26">
        <v>6.0</v>
      </c>
      <c r="XP16" s="26">
        <v>17.0</v>
      </c>
      <c r="XQ16" s="27">
        <v>17.0</v>
      </c>
      <c r="XS16" s="28">
        <v>40.0</v>
      </c>
      <c r="XT16" s="26">
        <v>6.0</v>
      </c>
      <c r="XU16" s="26">
        <v>19.0</v>
      </c>
      <c r="XV16" s="27">
        <v>15.0</v>
      </c>
      <c r="XX16" s="28">
        <v>40.0</v>
      </c>
      <c r="XY16" s="26">
        <v>4.0</v>
      </c>
      <c r="XZ16" s="26">
        <v>16.0</v>
      </c>
      <c r="YA16" s="27">
        <v>20.0</v>
      </c>
      <c r="YC16" s="28">
        <v>40.0</v>
      </c>
      <c r="YD16" s="26">
        <v>4.0</v>
      </c>
      <c r="YE16" s="26">
        <v>12.0</v>
      </c>
      <c r="YF16" s="27">
        <v>24.0</v>
      </c>
      <c r="YH16" s="28">
        <v>40.0</v>
      </c>
      <c r="YI16" s="26">
        <v>5.0</v>
      </c>
      <c r="YJ16" s="26">
        <v>12.0</v>
      </c>
      <c r="YK16" s="27">
        <v>23.0</v>
      </c>
      <c r="YM16" s="28">
        <v>40.0</v>
      </c>
      <c r="YN16" s="26">
        <v>3.0</v>
      </c>
      <c r="YO16" s="26">
        <v>15.0</v>
      </c>
      <c r="YP16" s="27">
        <v>22.0</v>
      </c>
      <c r="YR16" s="28">
        <v>40.0</v>
      </c>
      <c r="YS16" s="26">
        <v>3.0</v>
      </c>
      <c r="YT16" s="26">
        <v>17.0</v>
      </c>
      <c r="YU16" s="27">
        <v>20.0</v>
      </c>
      <c r="YW16" s="28">
        <v>40.0</v>
      </c>
      <c r="YX16" s="26">
        <v>6.0</v>
      </c>
      <c r="YY16" s="26">
        <v>18.0</v>
      </c>
      <c r="YZ16" s="27">
        <v>16.0</v>
      </c>
      <c r="ZB16" s="28">
        <v>40.0</v>
      </c>
      <c r="ZC16" s="26">
        <v>4.0</v>
      </c>
      <c r="ZD16" s="26">
        <v>15.0</v>
      </c>
      <c r="ZE16" s="27">
        <v>21.0</v>
      </c>
      <c r="ZG16" s="28">
        <v>40.0</v>
      </c>
      <c r="ZH16" s="26">
        <v>2.0</v>
      </c>
      <c r="ZI16" s="26">
        <v>19.0</v>
      </c>
      <c r="ZJ16" s="27">
        <v>19.0</v>
      </c>
      <c r="ZL16" s="28">
        <v>40.0</v>
      </c>
      <c r="ZM16" s="26">
        <v>2.0</v>
      </c>
      <c r="ZN16" s="26">
        <v>18.0</v>
      </c>
      <c r="ZO16" s="27">
        <v>20.0</v>
      </c>
      <c r="ZQ16" s="28">
        <v>40.0</v>
      </c>
      <c r="ZR16" s="26">
        <v>6.0</v>
      </c>
      <c r="ZS16" s="26">
        <v>12.0</v>
      </c>
      <c r="ZT16" s="27">
        <v>22.0</v>
      </c>
      <c r="ZV16" s="28">
        <v>40.0</v>
      </c>
      <c r="ZW16" s="26">
        <v>6.0</v>
      </c>
      <c r="ZX16" s="26">
        <v>9.0</v>
      </c>
      <c r="ZY16" s="27">
        <v>25.0</v>
      </c>
      <c r="AAA16" s="28">
        <v>40.0</v>
      </c>
      <c r="AAB16" s="26">
        <v>3.0</v>
      </c>
      <c r="AAC16" s="26">
        <v>11.0</v>
      </c>
      <c r="AAD16" s="27">
        <v>26.0</v>
      </c>
      <c r="AAF16" s="28">
        <v>40.0</v>
      </c>
      <c r="AAG16" s="26">
        <v>5.0</v>
      </c>
      <c r="AAH16" s="26">
        <v>14.0</v>
      </c>
      <c r="AAI16" s="27">
        <v>21.0</v>
      </c>
      <c r="AAK16" s="28">
        <v>40.0</v>
      </c>
      <c r="AAL16" s="26">
        <v>1.0</v>
      </c>
      <c r="AAM16" s="26">
        <v>25.0</v>
      </c>
      <c r="AAN16" s="27">
        <v>14.0</v>
      </c>
      <c r="AAP16" s="28">
        <v>40.0</v>
      </c>
      <c r="AAQ16" s="26">
        <v>2.0</v>
      </c>
      <c r="AAR16" s="26">
        <v>21.0</v>
      </c>
      <c r="AAS16" s="27">
        <v>17.0</v>
      </c>
      <c r="AAU16" s="28">
        <v>40.0</v>
      </c>
      <c r="AAV16" s="26">
        <v>11.0</v>
      </c>
      <c r="AAW16" s="26">
        <v>7.0</v>
      </c>
      <c r="AAX16" s="27">
        <v>22.0</v>
      </c>
      <c r="AAZ16" s="28">
        <v>40.0</v>
      </c>
      <c r="ABA16" s="26">
        <v>4.0</v>
      </c>
      <c r="ABB16" s="26">
        <v>7.0</v>
      </c>
      <c r="ABC16" s="27">
        <v>29.0</v>
      </c>
      <c r="ABE16" s="28">
        <v>40.0</v>
      </c>
      <c r="ABF16" s="26">
        <v>7.0</v>
      </c>
      <c r="ABG16" s="26">
        <v>9.0</v>
      </c>
      <c r="ABH16" s="27">
        <v>24.0</v>
      </c>
      <c r="ABJ16" s="28">
        <v>40.0</v>
      </c>
      <c r="ABK16" s="26">
        <v>11.0</v>
      </c>
      <c r="ABL16" s="26">
        <v>9.0</v>
      </c>
      <c r="ABM16" s="27">
        <v>20.0</v>
      </c>
      <c r="ABO16" s="28">
        <v>40.0</v>
      </c>
      <c r="ABP16" s="26">
        <v>5.0</v>
      </c>
      <c r="ABQ16" s="26">
        <v>9.0</v>
      </c>
      <c r="ABR16" s="27">
        <v>26.0</v>
      </c>
      <c r="ABT16" s="28">
        <v>40.0</v>
      </c>
      <c r="ABU16" s="26">
        <v>7.0</v>
      </c>
      <c r="ABV16" s="26">
        <v>10.0</v>
      </c>
      <c r="ABW16" s="27">
        <v>23.0</v>
      </c>
      <c r="ABY16" s="28">
        <v>40.0</v>
      </c>
      <c r="ABZ16" s="26">
        <v>1.0</v>
      </c>
      <c r="ACA16" s="26">
        <v>10.0</v>
      </c>
      <c r="ACB16" s="27">
        <v>29.0</v>
      </c>
      <c r="ACD16" s="28">
        <v>40.0</v>
      </c>
      <c r="ACE16" s="26">
        <v>9.0</v>
      </c>
      <c r="ACF16" s="26">
        <v>7.0</v>
      </c>
      <c r="ACG16" s="27">
        <v>24.0</v>
      </c>
      <c r="ACI16" s="28">
        <v>40.0</v>
      </c>
      <c r="ACJ16" s="26">
        <v>3.0</v>
      </c>
      <c r="ACK16" s="26">
        <v>10.0</v>
      </c>
      <c r="ACL16" s="27">
        <v>27.0</v>
      </c>
      <c r="ACN16" s="28">
        <v>40.0</v>
      </c>
      <c r="ACO16" s="26">
        <v>3.0</v>
      </c>
      <c r="ACP16" s="26">
        <v>3.0</v>
      </c>
      <c r="ACQ16" s="27">
        <v>34.0</v>
      </c>
      <c r="ACS16" s="28">
        <v>40.0</v>
      </c>
      <c r="ACT16" s="26">
        <v>4.0</v>
      </c>
      <c r="ACU16" s="26">
        <v>9.0</v>
      </c>
      <c r="ACV16" s="27">
        <v>27.0</v>
      </c>
      <c r="ACX16" s="28">
        <v>40.0</v>
      </c>
      <c r="ACY16" s="26">
        <v>0.0</v>
      </c>
      <c r="ACZ16" s="26">
        <v>18.0</v>
      </c>
      <c r="ADA16" s="27">
        <v>22.0</v>
      </c>
      <c r="ADC16" s="28">
        <v>40.0</v>
      </c>
      <c r="ADD16" s="26">
        <v>2.0</v>
      </c>
      <c r="ADE16" s="26">
        <v>9.0</v>
      </c>
      <c r="ADF16" s="27">
        <v>29.0</v>
      </c>
      <c r="ADH16" s="28">
        <v>40.0</v>
      </c>
      <c r="ADI16" s="26">
        <v>1.0</v>
      </c>
      <c r="ADJ16" s="26">
        <v>13.0</v>
      </c>
      <c r="ADK16" s="27">
        <v>26.0</v>
      </c>
      <c r="ADM16" s="28">
        <v>40.0</v>
      </c>
      <c r="ADN16" s="26">
        <v>1.0</v>
      </c>
      <c r="ADO16" s="26">
        <v>7.0</v>
      </c>
      <c r="ADP16" s="27">
        <v>32.0</v>
      </c>
      <c r="ADR16" s="28">
        <v>40.0</v>
      </c>
      <c r="ADS16" s="26">
        <v>1.0</v>
      </c>
      <c r="ADT16" s="26">
        <v>9.0</v>
      </c>
      <c r="ADU16" s="27">
        <v>30.0</v>
      </c>
      <c r="ADW16" s="28">
        <v>40.0</v>
      </c>
      <c r="ADX16" s="26">
        <v>2.0</v>
      </c>
      <c r="ADY16" s="26">
        <v>11.0</v>
      </c>
      <c r="ADZ16" s="27">
        <v>27.0</v>
      </c>
      <c r="AEB16" s="28">
        <v>40.0</v>
      </c>
      <c r="AEC16" s="26">
        <v>1.0</v>
      </c>
      <c r="AED16" s="26">
        <v>5.0</v>
      </c>
      <c r="AEE16" s="27">
        <v>34.0</v>
      </c>
      <c r="AEG16" s="28">
        <v>40.0</v>
      </c>
      <c r="AEH16" s="26">
        <v>1.0</v>
      </c>
      <c r="AEI16" s="26">
        <v>12.0</v>
      </c>
      <c r="AEJ16" s="27">
        <v>27.0</v>
      </c>
      <c r="AEL16" s="28">
        <v>40.0</v>
      </c>
      <c r="AEM16" s="26">
        <v>3.0</v>
      </c>
      <c r="AEN16" s="26">
        <v>17.0</v>
      </c>
      <c r="AEO16" s="27">
        <v>20.0</v>
      </c>
      <c r="AEQ16" s="28">
        <v>40.0</v>
      </c>
      <c r="AER16" s="26">
        <v>3.0</v>
      </c>
      <c r="AES16" s="26">
        <v>6.0</v>
      </c>
      <c r="AET16" s="27">
        <v>31.0</v>
      </c>
      <c r="AEV16" s="28">
        <v>40.0</v>
      </c>
      <c r="AEW16" s="26">
        <v>3.0</v>
      </c>
      <c r="AEX16" s="26">
        <v>13.0</v>
      </c>
      <c r="AEY16" s="27">
        <v>24.0</v>
      </c>
      <c r="AFA16" s="28">
        <v>40.0</v>
      </c>
      <c r="AFB16" s="26">
        <v>3.0</v>
      </c>
      <c r="AFC16" s="26">
        <v>6.0</v>
      </c>
      <c r="AFD16" s="27">
        <v>31.0</v>
      </c>
      <c r="AFF16" s="28">
        <v>40.0</v>
      </c>
      <c r="AFG16" s="26">
        <v>1.0</v>
      </c>
      <c r="AFH16" s="26">
        <v>9.0</v>
      </c>
      <c r="AFI16" s="27">
        <v>30.0</v>
      </c>
      <c r="AFK16" s="28">
        <v>40.0</v>
      </c>
      <c r="AFL16" s="26">
        <v>7.0</v>
      </c>
      <c r="AFM16" s="26">
        <v>8.0</v>
      </c>
      <c r="AFN16" s="27">
        <v>25.0</v>
      </c>
      <c r="AFP16" s="28">
        <v>40.0</v>
      </c>
      <c r="AFQ16" s="26">
        <v>5.0</v>
      </c>
      <c r="AFR16" s="26">
        <v>7.0</v>
      </c>
      <c r="AFS16" s="27">
        <v>28.0</v>
      </c>
      <c r="AFU16" s="28">
        <v>40.0</v>
      </c>
      <c r="AFV16" s="26">
        <v>5.0</v>
      </c>
      <c r="AFW16" s="26">
        <v>7.0</v>
      </c>
      <c r="AFX16" s="27">
        <v>28.0</v>
      </c>
      <c r="AFZ16" s="28">
        <v>40.0</v>
      </c>
      <c r="AGA16" s="26">
        <v>5.0</v>
      </c>
      <c r="AGB16" s="26">
        <v>14.0</v>
      </c>
      <c r="AGC16" s="27">
        <v>21.0</v>
      </c>
      <c r="AGE16" s="28">
        <v>40.0</v>
      </c>
      <c r="AGF16" s="26">
        <v>8.0</v>
      </c>
      <c r="AGG16" s="26">
        <v>5.0</v>
      </c>
      <c r="AGH16" s="27">
        <v>27.0</v>
      </c>
      <c r="AGJ16" s="28">
        <v>40.0</v>
      </c>
      <c r="AGK16" s="26">
        <v>11.0</v>
      </c>
      <c r="AGL16" s="26">
        <v>8.0</v>
      </c>
      <c r="AGM16" s="27">
        <v>21.0</v>
      </c>
      <c r="AGO16" s="28">
        <v>40.0</v>
      </c>
      <c r="AGP16" s="26">
        <v>11.0</v>
      </c>
      <c r="AGQ16" s="26">
        <v>6.0</v>
      </c>
      <c r="AGR16" s="27">
        <v>23.0</v>
      </c>
      <c r="AGT16" s="28">
        <v>40.0</v>
      </c>
      <c r="AGU16" s="26">
        <v>4.0</v>
      </c>
      <c r="AGV16" s="26">
        <v>14.0</v>
      </c>
      <c r="AGW16" s="27">
        <v>22.0</v>
      </c>
      <c r="AGY16" s="28">
        <v>40.0</v>
      </c>
      <c r="AGZ16" s="26">
        <v>2.0</v>
      </c>
      <c r="AHA16" s="26">
        <v>11.0</v>
      </c>
      <c r="AHB16" s="27">
        <v>27.0</v>
      </c>
      <c r="AHD16" s="28">
        <v>40.0</v>
      </c>
      <c r="AHE16" s="26">
        <v>4.0</v>
      </c>
      <c r="AHF16" s="26">
        <v>8.0</v>
      </c>
      <c r="AHG16" s="27">
        <v>28.0</v>
      </c>
      <c r="AHI16" s="28">
        <v>40.0</v>
      </c>
      <c r="AHJ16" s="26">
        <v>2.0</v>
      </c>
      <c r="AHK16" s="26">
        <v>10.0</v>
      </c>
      <c r="AHL16" s="27">
        <v>28.0</v>
      </c>
      <c r="AHN16" s="28">
        <v>40.0</v>
      </c>
      <c r="AHO16" s="26">
        <v>7.0</v>
      </c>
      <c r="AHP16" s="26">
        <v>11.0</v>
      </c>
      <c r="AHQ16" s="27">
        <v>22.0</v>
      </c>
      <c r="AHS16" s="28">
        <v>40.0</v>
      </c>
      <c r="AHT16" s="26">
        <v>5.0</v>
      </c>
      <c r="AHU16" s="26">
        <v>6.0</v>
      </c>
      <c r="AHV16" s="27">
        <v>29.0</v>
      </c>
      <c r="AHX16" s="28">
        <v>40.0</v>
      </c>
      <c r="AHY16" s="26">
        <v>2.0</v>
      </c>
      <c r="AHZ16" s="26">
        <v>11.0</v>
      </c>
      <c r="AIA16" s="27">
        <v>27.0</v>
      </c>
      <c r="AIC16" s="28">
        <v>40.0</v>
      </c>
      <c r="AID16" s="26">
        <v>2.0</v>
      </c>
      <c r="AIE16" s="26">
        <v>7.0</v>
      </c>
      <c r="AIF16" s="27">
        <v>31.0</v>
      </c>
      <c r="AIH16" s="28">
        <v>40.0</v>
      </c>
      <c r="AII16" s="26">
        <v>2.0</v>
      </c>
      <c r="AIJ16" s="26">
        <v>17.0</v>
      </c>
      <c r="AIK16" s="27">
        <v>21.0</v>
      </c>
      <c r="AIM16" s="28">
        <v>40.0</v>
      </c>
      <c r="AIN16" s="26">
        <v>0.0</v>
      </c>
      <c r="AIO16" s="26">
        <v>15.0</v>
      </c>
      <c r="AIP16" s="27">
        <v>25.0</v>
      </c>
      <c r="AIR16" s="28">
        <v>40.0</v>
      </c>
      <c r="AIS16" s="26">
        <v>1.0</v>
      </c>
      <c r="AIT16" s="26">
        <v>8.0</v>
      </c>
      <c r="AIU16" s="27">
        <v>31.0</v>
      </c>
      <c r="AIW16" s="28">
        <v>40.0</v>
      </c>
      <c r="AIX16" s="26">
        <v>4.0</v>
      </c>
      <c r="AIY16" s="26">
        <v>12.0</v>
      </c>
      <c r="AIZ16" s="27">
        <v>24.0</v>
      </c>
      <c r="AJB16" s="28">
        <v>40.0</v>
      </c>
      <c r="AJC16" s="26">
        <v>2.0</v>
      </c>
      <c r="AJD16" s="26">
        <v>15.0</v>
      </c>
      <c r="AJE16" s="27">
        <v>23.0</v>
      </c>
      <c r="AJG16" s="28">
        <v>40.0</v>
      </c>
      <c r="AJH16" s="26">
        <v>4.0</v>
      </c>
      <c r="AJI16" s="26">
        <v>7.0</v>
      </c>
      <c r="AJJ16" s="27">
        <v>29.0</v>
      </c>
      <c r="AJL16" s="28">
        <v>40.0</v>
      </c>
      <c r="AJM16" s="26">
        <v>2.0</v>
      </c>
      <c r="AJN16" s="26">
        <v>12.0</v>
      </c>
      <c r="AJO16" s="27">
        <v>26.0</v>
      </c>
      <c r="AJQ16" s="28">
        <v>40.0</v>
      </c>
      <c r="AJR16" s="26">
        <v>4.0</v>
      </c>
      <c r="AJS16" s="26">
        <v>5.0</v>
      </c>
      <c r="AJT16" s="27">
        <v>31.0</v>
      </c>
      <c r="AJV16" s="28">
        <v>40.0</v>
      </c>
      <c r="AJW16" s="26">
        <v>2.0</v>
      </c>
      <c r="AJX16" s="26">
        <v>16.0</v>
      </c>
      <c r="AJY16" s="27">
        <v>22.0</v>
      </c>
    </row>
    <row r="17">
      <c r="A17" s="13"/>
      <c r="B17" s="7" t="s">
        <v>196</v>
      </c>
    </row>
    <row r="18">
      <c r="A18" s="13"/>
      <c r="B18" s="9" t="s">
        <v>203</v>
      </c>
      <c r="C18" s="10">
        <v>40.0</v>
      </c>
      <c r="D18" s="10">
        <v>3.0</v>
      </c>
      <c r="E18" s="10">
        <v>6.0</v>
      </c>
      <c r="F18" s="11">
        <v>31.0</v>
      </c>
      <c r="H18" s="12">
        <v>40.0</v>
      </c>
      <c r="I18" s="10">
        <v>8.0</v>
      </c>
      <c r="J18" s="10">
        <v>8.0</v>
      </c>
      <c r="K18" s="11">
        <v>24.0</v>
      </c>
      <c r="M18" s="12">
        <v>40.0</v>
      </c>
      <c r="N18" s="10">
        <v>10.0</v>
      </c>
      <c r="O18" s="10">
        <v>10.0</v>
      </c>
      <c r="P18" s="11">
        <v>20.0</v>
      </c>
      <c r="R18" s="12">
        <v>40.0</v>
      </c>
      <c r="S18" s="10">
        <v>8.0</v>
      </c>
      <c r="T18" s="10">
        <v>13.0</v>
      </c>
      <c r="U18" s="11">
        <v>19.0</v>
      </c>
      <c r="W18" s="12">
        <v>40.0</v>
      </c>
      <c r="X18" s="10">
        <v>8.0</v>
      </c>
      <c r="Y18" s="10">
        <v>10.0</v>
      </c>
      <c r="Z18" s="11">
        <v>22.0</v>
      </c>
      <c r="AB18" s="12">
        <v>40.0</v>
      </c>
      <c r="AC18" s="10">
        <v>1.0</v>
      </c>
      <c r="AD18" s="10">
        <v>13.0</v>
      </c>
      <c r="AE18" s="11">
        <v>26.0</v>
      </c>
      <c r="AG18" s="12">
        <v>40.0</v>
      </c>
      <c r="AH18" s="10">
        <v>4.0</v>
      </c>
      <c r="AI18" s="10">
        <v>17.0</v>
      </c>
      <c r="AJ18" s="11">
        <v>19.0</v>
      </c>
      <c r="AL18" s="12">
        <v>40.0</v>
      </c>
      <c r="AM18" s="10">
        <v>5.0</v>
      </c>
      <c r="AN18" s="10">
        <v>3.0</v>
      </c>
      <c r="AO18" s="11">
        <v>32.0</v>
      </c>
      <c r="AQ18" s="12">
        <v>40.0</v>
      </c>
      <c r="AR18" s="10">
        <v>3.0</v>
      </c>
      <c r="AS18" s="10">
        <v>9.0</v>
      </c>
      <c r="AT18" s="11">
        <v>28.0</v>
      </c>
      <c r="AV18" s="12">
        <v>40.0</v>
      </c>
      <c r="AW18" s="10">
        <v>5.0</v>
      </c>
      <c r="AX18" s="10">
        <v>9.0</v>
      </c>
      <c r="AY18" s="11">
        <v>26.0</v>
      </c>
      <c r="BA18" s="12">
        <v>40.0</v>
      </c>
      <c r="BB18" s="10">
        <v>2.0</v>
      </c>
      <c r="BC18" s="10">
        <v>16.0</v>
      </c>
      <c r="BD18" s="11">
        <v>22.0</v>
      </c>
      <c r="BF18" s="12">
        <v>40.0</v>
      </c>
      <c r="BG18" s="10">
        <v>7.0</v>
      </c>
      <c r="BH18" s="10">
        <v>18.0</v>
      </c>
      <c r="BI18" s="11">
        <v>15.0</v>
      </c>
      <c r="BK18" s="12">
        <v>40.0</v>
      </c>
      <c r="BL18" s="10">
        <v>6.0</v>
      </c>
      <c r="BM18" s="10">
        <v>9.0</v>
      </c>
      <c r="BN18" s="11">
        <v>25.0</v>
      </c>
      <c r="BP18" s="12">
        <v>40.0</v>
      </c>
      <c r="BQ18" s="10">
        <v>9.0</v>
      </c>
      <c r="BR18" s="10">
        <v>7.0</v>
      </c>
      <c r="BS18" s="11">
        <v>24.0</v>
      </c>
      <c r="BU18" s="12">
        <v>40.0</v>
      </c>
      <c r="BV18" s="10">
        <v>3.0</v>
      </c>
      <c r="BW18" s="10">
        <v>17.0</v>
      </c>
      <c r="BX18" s="11">
        <v>20.0</v>
      </c>
      <c r="BZ18" s="12">
        <v>40.0</v>
      </c>
      <c r="CA18" s="10">
        <v>5.0</v>
      </c>
      <c r="CB18" s="10">
        <v>9.0</v>
      </c>
      <c r="CC18" s="11">
        <v>26.0</v>
      </c>
      <c r="CE18" s="12">
        <v>40.0</v>
      </c>
      <c r="CF18" s="10">
        <v>5.0</v>
      </c>
      <c r="CG18" s="10">
        <v>6.0</v>
      </c>
      <c r="CH18" s="11">
        <v>29.0</v>
      </c>
      <c r="CJ18" s="12">
        <v>40.0</v>
      </c>
      <c r="CK18" s="10">
        <v>1.0</v>
      </c>
      <c r="CL18" s="10">
        <v>13.0</v>
      </c>
      <c r="CM18" s="11">
        <v>26.0</v>
      </c>
      <c r="CO18" s="12">
        <v>40.0</v>
      </c>
      <c r="CP18" s="10">
        <v>2.0</v>
      </c>
      <c r="CQ18" s="10">
        <v>13.0</v>
      </c>
      <c r="CR18" s="11">
        <v>25.0</v>
      </c>
      <c r="CT18" s="12">
        <v>40.0</v>
      </c>
      <c r="CU18" s="10">
        <v>8.0</v>
      </c>
      <c r="CV18" s="10">
        <v>13.0</v>
      </c>
      <c r="CW18" s="11">
        <v>19.0</v>
      </c>
      <c r="CY18" s="12">
        <v>40.0</v>
      </c>
      <c r="CZ18" s="10">
        <v>3.0</v>
      </c>
      <c r="DA18" s="10">
        <v>7.0</v>
      </c>
      <c r="DB18" s="11">
        <v>30.0</v>
      </c>
      <c r="DD18" s="12">
        <v>40.0</v>
      </c>
      <c r="DE18" s="10">
        <v>7.0</v>
      </c>
      <c r="DF18" s="10">
        <v>7.0</v>
      </c>
      <c r="DG18" s="11">
        <v>26.0</v>
      </c>
      <c r="DI18" s="12">
        <v>40.0</v>
      </c>
      <c r="DJ18" s="10">
        <v>3.0</v>
      </c>
      <c r="DK18" s="10">
        <v>14.0</v>
      </c>
      <c r="DL18" s="11">
        <v>23.0</v>
      </c>
      <c r="DN18" s="12">
        <v>40.0</v>
      </c>
      <c r="DO18" s="10">
        <v>1.0</v>
      </c>
      <c r="DP18" s="10">
        <v>8.0</v>
      </c>
      <c r="DQ18" s="11">
        <v>31.0</v>
      </c>
      <c r="DS18" s="12">
        <v>40.0</v>
      </c>
      <c r="DT18" s="10">
        <v>3.0</v>
      </c>
      <c r="DU18" s="10">
        <v>11.0</v>
      </c>
      <c r="DV18" s="11">
        <v>26.0</v>
      </c>
      <c r="DX18" s="12">
        <v>40.0</v>
      </c>
      <c r="DY18" s="10">
        <v>5.0</v>
      </c>
      <c r="DZ18" s="10">
        <v>12.0</v>
      </c>
      <c r="EA18" s="11">
        <v>23.0</v>
      </c>
      <c r="EC18" s="12">
        <v>40.0</v>
      </c>
      <c r="ED18" s="10">
        <v>5.0</v>
      </c>
      <c r="EE18" s="10">
        <v>13.0</v>
      </c>
      <c r="EF18" s="11">
        <v>22.0</v>
      </c>
      <c r="EH18" s="12">
        <v>40.0</v>
      </c>
      <c r="EI18" s="10">
        <v>9.0</v>
      </c>
      <c r="EJ18" s="10">
        <v>16.0</v>
      </c>
      <c r="EK18" s="11">
        <v>15.0</v>
      </c>
      <c r="EM18" s="12">
        <v>40.0</v>
      </c>
      <c r="EN18" s="10">
        <v>7.0</v>
      </c>
      <c r="EO18" s="10">
        <v>11.0</v>
      </c>
      <c r="EP18" s="11">
        <v>22.0</v>
      </c>
      <c r="ER18" s="12">
        <v>40.0</v>
      </c>
      <c r="ES18" s="10">
        <v>8.0</v>
      </c>
      <c r="ET18" s="10">
        <v>16.0</v>
      </c>
      <c r="EU18" s="11">
        <v>16.0</v>
      </c>
      <c r="EW18" s="12">
        <v>40.0</v>
      </c>
      <c r="EX18" s="10">
        <v>2.0</v>
      </c>
      <c r="EY18" s="10">
        <v>20.0</v>
      </c>
      <c r="EZ18" s="11">
        <v>18.0</v>
      </c>
      <c r="FB18" s="12">
        <v>40.0</v>
      </c>
      <c r="FC18" s="10">
        <v>5.0</v>
      </c>
      <c r="FD18" s="10">
        <v>8.0</v>
      </c>
      <c r="FE18" s="11">
        <v>27.0</v>
      </c>
      <c r="FG18" s="12">
        <v>40.0</v>
      </c>
      <c r="FH18" s="10">
        <v>5.0</v>
      </c>
      <c r="FI18" s="10">
        <v>10.0</v>
      </c>
      <c r="FJ18" s="11">
        <v>25.0</v>
      </c>
      <c r="FL18" s="12">
        <v>40.0</v>
      </c>
      <c r="FM18" s="10">
        <v>4.0</v>
      </c>
      <c r="FN18" s="10">
        <v>8.0</v>
      </c>
      <c r="FO18" s="11">
        <v>28.0</v>
      </c>
      <c r="FQ18" s="12">
        <v>40.0</v>
      </c>
      <c r="FR18" s="10">
        <v>4.0</v>
      </c>
      <c r="FS18" s="10">
        <v>15.0</v>
      </c>
      <c r="FT18" s="11">
        <v>21.0</v>
      </c>
      <c r="FV18" s="12">
        <v>40.0</v>
      </c>
      <c r="FW18" s="10">
        <v>6.0</v>
      </c>
      <c r="FX18" s="10">
        <v>19.0</v>
      </c>
      <c r="FY18" s="11">
        <v>15.0</v>
      </c>
      <c r="GA18" s="12">
        <v>40.0</v>
      </c>
      <c r="GB18" s="10">
        <v>7.0</v>
      </c>
      <c r="GC18" s="10">
        <v>10.0</v>
      </c>
      <c r="GD18" s="11">
        <v>23.0</v>
      </c>
      <c r="GF18" s="12">
        <v>40.0</v>
      </c>
      <c r="GG18" s="10">
        <v>8.0</v>
      </c>
      <c r="GH18" s="10">
        <v>10.0</v>
      </c>
      <c r="GI18" s="11">
        <v>22.0</v>
      </c>
      <c r="GK18" s="12">
        <v>40.0</v>
      </c>
      <c r="GL18" s="10">
        <v>4.0</v>
      </c>
      <c r="GM18" s="10">
        <v>14.0</v>
      </c>
      <c r="GN18" s="11">
        <v>22.0</v>
      </c>
      <c r="GP18" s="12">
        <v>40.0</v>
      </c>
      <c r="GQ18" s="10">
        <v>8.0</v>
      </c>
      <c r="GR18" s="10">
        <v>6.0</v>
      </c>
      <c r="GS18" s="11">
        <v>26.0</v>
      </c>
      <c r="GU18" s="12">
        <v>40.0</v>
      </c>
      <c r="GV18" s="10">
        <v>3.0</v>
      </c>
      <c r="GW18" s="10">
        <v>14.0</v>
      </c>
      <c r="GX18" s="11">
        <v>23.0</v>
      </c>
      <c r="GZ18" s="12">
        <v>40.0</v>
      </c>
      <c r="HA18" s="10">
        <v>5.0</v>
      </c>
      <c r="HB18" s="10">
        <v>6.0</v>
      </c>
      <c r="HC18" s="11">
        <v>29.0</v>
      </c>
      <c r="HE18" s="12">
        <v>40.0</v>
      </c>
      <c r="HF18" s="10">
        <v>8.0</v>
      </c>
      <c r="HG18" s="10">
        <v>9.0</v>
      </c>
      <c r="HH18" s="11">
        <v>23.0</v>
      </c>
      <c r="HJ18" s="12">
        <v>40.0</v>
      </c>
      <c r="HK18" s="10">
        <v>6.0</v>
      </c>
      <c r="HL18" s="10">
        <v>20.0</v>
      </c>
      <c r="HM18" s="11">
        <v>14.0</v>
      </c>
      <c r="HO18" s="12">
        <v>40.0</v>
      </c>
      <c r="HP18" s="10">
        <v>5.0</v>
      </c>
      <c r="HQ18" s="10">
        <v>13.0</v>
      </c>
      <c r="HR18" s="11">
        <v>22.0</v>
      </c>
      <c r="HT18" s="12">
        <v>40.0</v>
      </c>
      <c r="HU18" s="10">
        <v>6.0</v>
      </c>
      <c r="HV18" s="10">
        <v>18.0</v>
      </c>
      <c r="HW18" s="11">
        <v>16.0</v>
      </c>
      <c r="HY18" s="12">
        <v>40.0</v>
      </c>
      <c r="HZ18" s="10">
        <v>3.0</v>
      </c>
      <c r="IA18" s="10">
        <v>16.0</v>
      </c>
      <c r="IB18" s="11">
        <v>21.0</v>
      </c>
      <c r="ID18" s="12">
        <v>40.0</v>
      </c>
      <c r="IE18" s="10">
        <v>4.0</v>
      </c>
      <c r="IF18" s="10">
        <v>8.0</v>
      </c>
      <c r="IG18" s="11">
        <v>28.0</v>
      </c>
      <c r="II18" s="12">
        <v>40.0</v>
      </c>
      <c r="IJ18" s="10">
        <v>12.0</v>
      </c>
      <c r="IK18" s="10">
        <v>10.0</v>
      </c>
      <c r="IL18" s="11">
        <v>18.0</v>
      </c>
      <c r="IN18" s="12">
        <v>40.0</v>
      </c>
      <c r="IO18" s="10">
        <v>13.0</v>
      </c>
      <c r="IP18" s="10">
        <v>6.0</v>
      </c>
      <c r="IQ18" s="11">
        <v>21.0</v>
      </c>
      <c r="IS18" s="12">
        <v>40.0</v>
      </c>
      <c r="IT18" s="10">
        <v>8.0</v>
      </c>
      <c r="IU18" s="10">
        <v>6.0</v>
      </c>
      <c r="IV18" s="11">
        <v>26.0</v>
      </c>
      <c r="IX18" s="12">
        <v>40.0</v>
      </c>
      <c r="IY18" s="10">
        <v>10.0</v>
      </c>
      <c r="IZ18" s="10">
        <v>15.0</v>
      </c>
      <c r="JA18" s="11">
        <v>15.0</v>
      </c>
      <c r="JC18" s="12">
        <v>40.0</v>
      </c>
      <c r="JD18" s="10">
        <v>9.0</v>
      </c>
      <c r="JE18" s="10">
        <v>6.0</v>
      </c>
      <c r="JF18" s="11">
        <v>25.0</v>
      </c>
      <c r="JH18" s="12">
        <v>40.0</v>
      </c>
      <c r="JI18" s="10">
        <v>4.0</v>
      </c>
      <c r="JJ18" s="10">
        <v>10.0</v>
      </c>
      <c r="JK18" s="11">
        <v>26.0</v>
      </c>
      <c r="JM18" s="12">
        <v>40.0</v>
      </c>
      <c r="JN18" s="10">
        <v>16.0</v>
      </c>
      <c r="JO18" s="10">
        <v>6.0</v>
      </c>
      <c r="JP18" s="11">
        <v>18.0</v>
      </c>
      <c r="JR18" s="12">
        <v>40.0</v>
      </c>
      <c r="JS18" s="10">
        <v>12.0</v>
      </c>
      <c r="JT18" s="10">
        <v>7.0</v>
      </c>
      <c r="JU18" s="11">
        <v>21.0</v>
      </c>
      <c r="JW18" s="12">
        <v>40.0</v>
      </c>
      <c r="JX18" s="10">
        <v>7.0</v>
      </c>
      <c r="JY18" s="10">
        <v>13.0</v>
      </c>
      <c r="JZ18" s="11">
        <v>20.0</v>
      </c>
      <c r="KB18" s="12">
        <v>40.0</v>
      </c>
      <c r="KC18" s="10">
        <v>2.0</v>
      </c>
      <c r="KD18" s="10">
        <v>12.0</v>
      </c>
      <c r="KE18" s="11">
        <v>26.0</v>
      </c>
      <c r="KG18" s="12">
        <v>40.0</v>
      </c>
      <c r="KH18" s="10">
        <v>8.0</v>
      </c>
      <c r="KI18" s="10">
        <v>10.0</v>
      </c>
      <c r="KJ18" s="11">
        <v>22.0</v>
      </c>
      <c r="KL18" s="12">
        <v>40.0</v>
      </c>
      <c r="KM18" s="10">
        <v>2.0</v>
      </c>
      <c r="KN18" s="10">
        <v>18.0</v>
      </c>
      <c r="KO18" s="11">
        <v>20.0</v>
      </c>
      <c r="KQ18" s="12">
        <v>40.0</v>
      </c>
      <c r="KR18" s="10">
        <v>1.0</v>
      </c>
      <c r="KS18" s="10">
        <v>10.0</v>
      </c>
      <c r="KT18" s="11">
        <v>29.0</v>
      </c>
      <c r="KV18" s="12">
        <v>40.0</v>
      </c>
      <c r="KW18" s="10">
        <v>1.0</v>
      </c>
      <c r="KX18" s="10">
        <v>15.0</v>
      </c>
      <c r="KY18" s="11">
        <v>24.0</v>
      </c>
      <c r="LA18" s="12">
        <v>40.0</v>
      </c>
      <c r="LB18" s="10">
        <v>2.0</v>
      </c>
      <c r="LC18" s="10">
        <v>12.0</v>
      </c>
      <c r="LD18" s="11">
        <v>26.0</v>
      </c>
      <c r="LF18" s="12">
        <v>40.0</v>
      </c>
      <c r="LG18" s="10">
        <v>3.0</v>
      </c>
      <c r="LH18" s="10">
        <v>13.0</v>
      </c>
      <c r="LI18" s="11">
        <v>24.0</v>
      </c>
      <c r="LK18" s="12">
        <v>40.0</v>
      </c>
      <c r="LL18" s="10">
        <v>3.0</v>
      </c>
      <c r="LM18" s="10">
        <v>16.0</v>
      </c>
      <c r="LN18" s="11">
        <v>21.0</v>
      </c>
      <c r="LP18" s="12">
        <v>40.0</v>
      </c>
      <c r="LQ18" s="10">
        <v>1.0</v>
      </c>
      <c r="LR18" s="10">
        <v>10.0</v>
      </c>
      <c r="LS18" s="11">
        <v>29.0</v>
      </c>
      <c r="LU18" s="12">
        <v>40.0</v>
      </c>
      <c r="LV18" s="10">
        <v>5.0</v>
      </c>
      <c r="LW18" s="10">
        <v>13.0</v>
      </c>
      <c r="LX18" s="11">
        <v>22.0</v>
      </c>
      <c r="LZ18" s="12">
        <v>40.0</v>
      </c>
      <c r="MA18" s="10">
        <v>1.0</v>
      </c>
      <c r="MB18" s="10">
        <v>17.0</v>
      </c>
      <c r="MC18" s="11">
        <v>22.0</v>
      </c>
      <c r="ME18" s="12">
        <v>40.0</v>
      </c>
      <c r="MF18" s="10">
        <v>1.0</v>
      </c>
      <c r="MG18" s="10">
        <v>9.0</v>
      </c>
      <c r="MH18" s="11">
        <v>30.0</v>
      </c>
      <c r="MJ18" s="12">
        <v>40.0</v>
      </c>
      <c r="MK18" s="10">
        <v>2.0</v>
      </c>
      <c r="ML18" s="10">
        <v>16.0</v>
      </c>
      <c r="MM18" s="11">
        <v>22.0</v>
      </c>
      <c r="MO18" s="12">
        <v>40.0</v>
      </c>
      <c r="MP18" s="10">
        <v>4.0</v>
      </c>
      <c r="MQ18" s="10">
        <v>12.0</v>
      </c>
      <c r="MR18" s="11">
        <v>24.0</v>
      </c>
      <c r="MT18" s="12">
        <v>40.0</v>
      </c>
      <c r="MU18" s="10">
        <v>4.0</v>
      </c>
      <c r="MV18" s="10">
        <v>16.0</v>
      </c>
      <c r="MW18" s="11">
        <v>20.0</v>
      </c>
      <c r="MY18" s="12">
        <v>40.0</v>
      </c>
      <c r="MZ18" s="10">
        <v>11.0</v>
      </c>
      <c r="NA18" s="10">
        <v>10.0</v>
      </c>
      <c r="NB18" s="11">
        <v>19.0</v>
      </c>
      <c r="ND18" s="12">
        <v>40.0</v>
      </c>
      <c r="NE18" s="10">
        <v>12.0</v>
      </c>
      <c r="NF18" s="10">
        <v>10.0</v>
      </c>
      <c r="NG18" s="11">
        <v>18.0</v>
      </c>
      <c r="NI18" s="12">
        <v>40.0</v>
      </c>
      <c r="NJ18" s="10">
        <v>5.0</v>
      </c>
      <c r="NK18" s="10">
        <v>12.0</v>
      </c>
      <c r="NL18" s="11">
        <v>23.0</v>
      </c>
      <c r="NN18" s="12">
        <v>40.0</v>
      </c>
      <c r="NO18" s="10">
        <v>17.0</v>
      </c>
      <c r="NP18" s="10">
        <v>7.0</v>
      </c>
      <c r="NQ18" s="11">
        <v>16.0</v>
      </c>
      <c r="NS18" s="12">
        <v>40.0</v>
      </c>
      <c r="NT18" s="10">
        <v>6.0</v>
      </c>
      <c r="NU18" s="10">
        <v>12.0</v>
      </c>
      <c r="NV18" s="11">
        <v>22.0</v>
      </c>
      <c r="NX18" s="12">
        <v>40.0</v>
      </c>
      <c r="NY18" s="10">
        <v>10.0</v>
      </c>
      <c r="NZ18" s="10">
        <v>5.0</v>
      </c>
      <c r="OA18" s="11">
        <v>25.0</v>
      </c>
      <c r="OC18" s="12">
        <v>40.0</v>
      </c>
      <c r="OD18" s="10">
        <v>11.0</v>
      </c>
      <c r="OE18" s="10">
        <v>6.0</v>
      </c>
      <c r="OF18" s="11">
        <v>23.0</v>
      </c>
      <c r="OH18" s="12">
        <v>40.0</v>
      </c>
      <c r="OI18" s="10">
        <v>10.0</v>
      </c>
      <c r="OJ18" s="10">
        <v>9.0</v>
      </c>
      <c r="OK18" s="11">
        <v>21.0</v>
      </c>
      <c r="OM18" s="12">
        <v>40.0</v>
      </c>
      <c r="ON18" s="10">
        <v>4.0</v>
      </c>
      <c r="OO18" s="10">
        <v>11.0</v>
      </c>
      <c r="OP18" s="11">
        <v>25.0</v>
      </c>
      <c r="OR18" s="12">
        <v>40.0</v>
      </c>
      <c r="OS18" s="10">
        <v>3.0</v>
      </c>
      <c r="OT18" s="10">
        <v>15.0</v>
      </c>
      <c r="OU18" s="11">
        <v>22.0</v>
      </c>
      <c r="OW18" s="12">
        <v>40.0</v>
      </c>
      <c r="OX18" s="10">
        <v>3.0</v>
      </c>
      <c r="OY18" s="10">
        <v>10.0</v>
      </c>
      <c r="OZ18" s="11">
        <v>27.0</v>
      </c>
      <c r="PB18" s="12">
        <v>40.0</v>
      </c>
      <c r="PC18" s="10">
        <v>1.0</v>
      </c>
      <c r="PD18" s="10">
        <v>22.0</v>
      </c>
      <c r="PE18" s="11">
        <v>17.0</v>
      </c>
      <c r="PG18" s="12">
        <v>40.0</v>
      </c>
      <c r="PH18" s="10">
        <v>2.0</v>
      </c>
      <c r="PI18" s="10">
        <v>7.0</v>
      </c>
      <c r="PJ18" s="11">
        <v>31.0</v>
      </c>
      <c r="PL18" s="12">
        <v>40.0</v>
      </c>
      <c r="PM18" s="10">
        <v>7.0</v>
      </c>
      <c r="PN18" s="10">
        <v>6.0</v>
      </c>
      <c r="PO18" s="11">
        <v>27.0</v>
      </c>
      <c r="PQ18" s="12">
        <v>40.0</v>
      </c>
      <c r="PR18" s="10">
        <v>5.0</v>
      </c>
      <c r="PS18" s="10">
        <v>9.0</v>
      </c>
      <c r="PT18" s="11">
        <v>26.0</v>
      </c>
      <c r="PV18" s="12">
        <v>40.0</v>
      </c>
      <c r="PW18" s="10">
        <v>3.0</v>
      </c>
      <c r="PX18" s="10">
        <v>14.0</v>
      </c>
      <c r="PY18" s="11">
        <v>23.0</v>
      </c>
      <c r="QA18" s="12">
        <v>40.0</v>
      </c>
      <c r="QB18" s="10">
        <v>3.0</v>
      </c>
      <c r="QC18" s="10">
        <v>17.0</v>
      </c>
      <c r="QD18" s="11">
        <v>20.0</v>
      </c>
      <c r="QF18" s="12">
        <v>40.0</v>
      </c>
      <c r="QG18" s="10">
        <v>4.0</v>
      </c>
      <c r="QH18" s="10">
        <v>12.0</v>
      </c>
      <c r="QI18" s="11">
        <v>24.0</v>
      </c>
      <c r="QK18" s="12">
        <v>40.0</v>
      </c>
      <c r="QL18" s="10">
        <v>4.0</v>
      </c>
      <c r="QM18" s="10">
        <v>11.0</v>
      </c>
      <c r="QN18" s="11">
        <v>25.0</v>
      </c>
      <c r="QP18" s="12">
        <v>40.0</v>
      </c>
      <c r="QQ18" s="10">
        <v>2.0</v>
      </c>
      <c r="QR18" s="10">
        <v>12.0</v>
      </c>
      <c r="QS18" s="11">
        <v>26.0</v>
      </c>
      <c r="QU18" s="12">
        <v>40.0</v>
      </c>
      <c r="QV18" s="10">
        <v>5.0</v>
      </c>
      <c r="QW18" s="10">
        <v>9.0</v>
      </c>
      <c r="QX18" s="11">
        <v>26.0</v>
      </c>
      <c r="QZ18" s="12">
        <v>40.0</v>
      </c>
      <c r="RA18" s="10">
        <v>2.0</v>
      </c>
      <c r="RB18" s="10">
        <v>14.0</v>
      </c>
      <c r="RC18" s="11">
        <v>24.0</v>
      </c>
      <c r="RE18" s="12">
        <v>40.0</v>
      </c>
      <c r="RF18" s="10">
        <v>4.0</v>
      </c>
      <c r="RG18" s="10">
        <v>7.0</v>
      </c>
      <c r="RH18" s="11">
        <v>29.0</v>
      </c>
      <c r="RJ18" s="12">
        <v>40.0</v>
      </c>
      <c r="RK18" s="10">
        <v>6.0</v>
      </c>
      <c r="RL18" s="10">
        <v>8.0</v>
      </c>
      <c r="RM18" s="11">
        <v>26.0</v>
      </c>
      <c r="RO18" s="12">
        <v>40.0</v>
      </c>
      <c r="RP18" s="10">
        <v>13.0</v>
      </c>
      <c r="RQ18" s="10">
        <v>7.0</v>
      </c>
      <c r="RR18" s="11">
        <v>20.0</v>
      </c>
      <c r="RT18" s="12">
        <v>40.0</v>
      </c>
      <c r="RU18" s="10">
        <v>7.0</v>
      </c>
      <c r="RV18" s="10">
        <v>13.0</v>
      </c>
      <c r="RW18" s="11">
        <v>20.0</v>
      </c>
      <c r="RY18" s="12">
        <v>40.0</v>
      </c>
      <c r="RZ18" s="10">
        <v>7.0</v>
      </c>
      <c r="SA18" s="10">
        <v>13.0</v>
      </c>
      <c r="SB18" s="11">
        <v>20.0</v>
      </c>
      <c r="SD18" s="12">
        <v>40.0</v>
      </c>
      <c r="SE18" s="10">
        <v>7.0</v>
      </c>
      <c r="SF18" s="10">
        <v>10.0</v>
      </c>
      <c r="SG18" s="11">
        <v>23.0</v>
      </c>
      <c r="SI18" s="12">
        <v>40.0</v>
      </c>
      <c r="SJ18" s="10">
        <v>5.0</v>
      </c>
      <c r="SK18" s="10">
        <v>12.0</v>
      </c>
      <c r="SL18" s="11">
        <v>23.0</v>
      </c>
      <c r="SN18" s="12">
        <v>40.0</v>
      </c>
      <c r="SO18" s="10">
        <v>9.0</v>
      </c>
      <c r="SP18" s="10">
        <v>5.0</v>
      </c>
      <c r="SQ18" s="11">
        <v>26.0</v>
      </c>
      <c r="SS18" s="12">
        <v>40.0</v>
      </c>
      <c r="ST18" s="10">
        <v>10.0</v>
      </c>
      <c r="SU18" s="10">
        <v>8.0</v>
      </c>
      <c r="SV18" s="11">
        <v>22.0</v>
      </c>
      <c r="SX18" s="12">
        <v>40.0</v>
      </c>
      <c r="SY18" s="10">
        <v>6.0</v>
      </c>
      <c r="SZ18" s="10">
        <v>7.0</v>
      </c>
      <c r="TA18" s="11">
        <v>27.0</v>
      </c>
      <c r="TC18" s="12">
        <v>40.0</v>
      </c>
      <c r="TD18" s="10">
        <v>4.0</v>
      </c>
      <c r="TE18" s="10">
        <v>13.0</v>
      </c>
      <c r="TF18" s="11">
        <v>23.0</v>
      </c>
      <c r="TH18" s="12">
        <v>40.0</v>
      </c>
      <c r="TI18" s="10">
        <v>3.0</v>
      </c>
      <c r="TJ18" s="10">
        <v>22.0</v>
      </c>
      <c r="TK18" s="11">
        <v>15.0</v>
      </c>
      <c r="TM18" s="12">
        <v>40.0</v>
      </c>
      <c r="TN18" s="10">
        <v>4.0</v>
      </c>
      <c r="TO18" s="10">
        <v>13.0</v>
      </c>
      <c r="TP18" s="11">
        <v>23.0</v>
      </c>
      <c r="TR18" s="12">
        <v>40.0</v>
      </c>
      <c r="TS18" s="10">
        <v>6.0</v>
      </c>
      <c r="TT18" s="10">
        <v>9.0</v>
      </c>
      <c r="TU18" s="11">
        <v>25.0</v>
      </c>
      <c r="TW18" s="12">
        <v>40.0</v>
      </c>
      <c r="TX18" s="10">
        <v>5.0</v>
      </c>
      <c r="TY18" s="10">
        <v>16.0</v>
      </c>
      <c r="TZ18" s="11">
        <v>19.0</v>
      </c>
      <c r="UB18" s="12">
        <v>40.0</v>
      </c>
      <c r="UC18" s="10">
        <v>1.0</v>
      </c>
      <c r="UD18" s="10">
        <v>10.0</v>
      </c>
      <c r="UE18" s="11">
        <v>29.0</v>
      </c>
      <c r="UG18" s="12">
        <v>40.0</v>
      </c>
      <c r="UH18" s="10">
        <v>2.0</v>
      </c>
      <c r="UI18" s="10">
        <v>21.0</v>
      </c>
      <c r="UJ18" s="11">
        <v>17.0</v>
      </c>
      <c r="UL18" s="12">
        <v>40.0</v>
      </c>
      <c r="UM18" s="10">
        <v>1.0</v>
      </c>
      <c r="UN18" s="10">
        <v>13.0</v>
      </c>
      <c r="UO18" s="11">
        <v>26.0</v>
      </c>
      <c r="UQ18" s="12">
        <v>40.0</v>
      </c>
      <c r="UR18" s="10">
        <v>1.0</v>
      </c>
      <c r="US18" s="10">
        <v>13.0</v>
      </c>
      <c r="UT18" s="11">
        <v>26.0</v>
      </c>
      <c r="UV18" s="12">
        <v>40.0</v>
      </c>
      <c r="UW18" s="10">
        <v>4.0</v>
      </c>
      <c r="UX18" s="10">
        <v>18.0</v>
      </c>
      <c r="UY18" s="11">
        <v>18.0</v>
      </c>
      <c r="VA18" s="12">
        <v>40.0</v>
      </c>
      <c r="VB18" s="10">
        <v>3.0</v>
      </c>
      <c r="VC18" s="10">
        <v>8.0</v>
      </c>
      <c r="VD18" s="11">
        <v>29.0</v>
      </c>
      <c r="VF18" s="12">
        <v>40.0</v>
      </c>
      <c r="VG18" s="10">
        <v>4.0</v>
      </c>
      <c r="VH18" s="10">
        <v>8.0</v>
      </c>
      <c r="VI18" s="11">
        <v>28.0</v>
      </c>
      <c r="VK18" s="12">
        <v>40.0</v>
      </c>
      <c r="VL18" s="10">
        <v>3.0</v>
      </c>
      <c r="VM18" s="10">
        <v>4.0</v>
      </c>
      <c r="VN18" s="11">
        <v>33.0</v>
      </c>
      <c r="VP18" s="12">
        <v>40.0</v>
      </c>
      <c r="VQ18" s="10">
        <v>3.0</v>
      </c>
      <c r="VR18" s="10">
        <v>11.0</v>
      </c>
      <c r="VS18" s="11">
        <v>26.0</v>
      </c>
      <c r="VU18" s="12">
        <v>40.0</v>
      </c>
      <c r="VV18" s="10">
        <v>2.0</v>
      </c>
      <c r="VW18" s="10">
        <v>15.0</v>
      </c>
      <c r="VX18" s="11">
        <v>23.0</v>
      </c>
      <c r="VZ18" s="12">
        <v>40.0</v>
      </c>
      <c r="WA18" s="10">
        <v>2.0</v>
      </c>
      <c r="WB18" s="10">
        <v>9.0</v>
      </c>
      <c r="WC18" s="11">
        <v>29.0</v>
      </c>
      <c r="WE18" s="12">
        <v>40.0</v>
      </c>
      <c r="WF18" s="10">
        <v>10.0</v>
      </c>
      <c r="WG18" s="10">
        <v>13.0</v>
      </c>
      <c r="WH18" s="11">
        <v>17.0</v>
      </c>
      <c r="WJ18" s="12">
        <v>40.0</v>
      </c>
      <c r="WK18" s="10">
        <v>3.0</v>
      </c>
      <c r="WL18" s="10">
        <v>19.0</v>
      </c>
      <c r="WM18" s="11">
        <v>18.0</v>
      </c>
      <c r="WO18" s="12">
        <v>40.0</v>
      </c>
      <c r="WP18" s="10">
        <v>10.0</v>
      </c>
      <c r="WQ18" s="10">
        <v>14.0</v>
      </c>
      <c r="WR18" s="11">
        <v>16.0</v>
      </c>
      <c r="WT18" s="12">
        <v>40.0</v>
      </c>
      <c r="WU18" s="10">
        <v>9.0</v>
      </c>
      <c r="WV18" s="10">
        <v>8.0</v>
      </c>
      <c r="WW18" s="11">
        <v>23.0</v>
      </c>
      <c r="WY18" s="12">
        <v>40.0</v>
      </c>
      <c r="WZ18" s="10">
        <v>1.0</v>
      </c>
      <c r="XA18" s="10">
        <v>11.0</v>
      </c>
      <c r="XB18" s="11">
        <v>28.0</v>
      </c>
      <c r="XD18" s="12">
        <v>40.0</v>
      </c>
      <c r="XE18" s="10">
        <v>10.0</v>
      </c>
      <c r="XF18" s="10">
        <v>10.0</v>
      </c>
      <c r="XG18" s="11">
        <v>20.0</v>
      </c>
      <c r="XI18" s="12">
        <v>40.0</v>
      </c>
      <c r="XJ18" s="10">
        <v>10.0</v>
      </c>
      <c r="XK18" s="10">
        <v>10.0</v>
      </c>
      <c r="XL18" s="11">
        <v>20.0</v>
      </c>
      <c r="XN18" s="12">
        <v>40.0</v>
      </c>
      <c r="XO18" s="10">
        <v>6.0</v>
      </c>
      <c r="XP18" s="10">
        <v>17.0</v>
      </c>
      <c r="XQ18" s="11">
        <v>17.0</v>
      </c>
      <c r="XS18" s="12">
        <v>40.0</v>
      </c>
      <c r="XT18" s="10">
        <v>6.0</v>
      </c>
      <c r="XU18" s="10">
        <v>19.0</v>
      </c>
      <c r="XV18" s="11">
        <v>15.0</v>
      </c>
      <c r="XX18" s="12">
        <v>40.0</v>
      </c>
      <c r="XY18" s="10">
        <v>4.0</v>
      </c>
      <c r="XZ18" s="10">
        <v>16.0</v>
      </c>
      <c r="YA18" s="11">
        <v>20.0</v>
      </c>
      <c r="YC18" s="12">
        <v>40.0</v>
      </c>
      <c r="YD18" s="10">
        <v>4.0</v>
      </c>
      <c r="YE18" s="10">
        <v>12.0</v>
      </c>
      <c r="YF18" s="11">
        <v>24.0</v>
      </c>
      <c r="YH18" s="12">
        <v>40.0</v>
      </c>
      <c r="YI18" s="10">
        <v>5.0</v>
      </c>
      <c r="YJ18" s="10">
        <v>12.0</v>
      </c>
      <c r="YK18" s="11">
        <v>23.0</v>
      </c>
      <c r="YM18" s="12">
        <v>40.0</v>
      </c>
      <c r="YN18" s="10">
        <v>3.0</v>
      </c>
      <c r="YO18" s="10">
        <v>15.0</v>
      </c>
      <c r="YP18" s="11">
        <v>22.0</v>
      </c>
      <c r="YR18" s="12">
        <v>40.0</v>
      </c>
      <c r="YS18" s="10">
        <v>3.0</v>
      </c>
      <c r="YT18" s="10">
        <v>17.0</v>
      </c>
      <c r="YU18" s="11">
        <v>20.0</v>
      </c>
      <c r="YW18" s="12">
        <v>40.0</v>
      </c>
      <c r="YX18" s="10">
        <v>6.0</v>
      </c>
      <c r="YY18" s="10">
        <v>18.0</v>
      </c>
      <c r="YZ18" s="11">
        <v>16.0</v>
      </c>
      <c r="ZB18" s="12">
        <v>40.0</v>
      </c>
      <c r="ZC18" s="10">
        <v>4.0</v>
      </c>
      <c r="ZD18" s="10">
        <v>15.0</v>
      </c>
      <c r="ZE18" s="11">
        <v>21.0</v>
      </c>
      <c r="ZG18" s="12">
        <v>40.0</v>
      </c>
      <c r="ZH18" s="10">
        <v>2.0</v>
      </c>
      <c r="ZI18" s="10">
        <v>19.0</v>
      </c>
      <c r="ZJ18" s="11">
        <v>19.0</v>
      </c>
      <c r="ZL18" s="12">
        <v>40.0</v>
      </c>
      <c r="ZM18" s="10">
        <v>2.0</v>
      </c>
      <c r="ZN18" s="10">
        <v>18.0</v>
      </c>
      <c r="ZO18" s="11">
        <v>20.0</v>
      </c>
      <c r="ZQ18" s="12">
        <v>40.0</v>
      </c>
      <c r="ZR18" s="10">
        <v>6.0</v>
      </c>
      <c r="ZS18" s="10">
        <v>12.0</v>
      </c>
      <c r="ZT18" s="11">
        <v>22.0</v>
      </c>
      <c r="ZV18" s="12">
        <v>40.0</v>
      </c>
      <c r="ZW18" s="10">
        <v>6.0</v>
      </c>
      <c r="ZX18" s="10">
        <v>9.0</v>
      </c>
      <c r="ZY18" s="11">
        <v>25.0</v>
      </c>
      <c r="AAA18" s="12">
        <v>40.0</v>
      </c>
      <c r="AAB18" s="10">
        <v>3.0</v>
      </c>
      <c r="AAC18" s="10">
        <v>11.0</v>
      </c>
      <c r="AAD18" s="11">
        <v>26.0</v>
      </c>
      <c r="AAF18" s="12">
        <v>40.0</v>
      </c>
      <c r="AAG18" s="10">
        <v>5.0</v>
      </c>
      <c r="AAH18" s="10">
        <v>14.0</v>
      </c>
      <c r="AAI18" s="11">
        <v>21.0</v>
      </c>
      <c r="AAK18" s="12">
        <v>40.0</v>
      </c>
      <c r="AAL18" s="10">
        <v>1.0</v>
      </c>
      <c r="AAM18" s="10">
        <v>25.0</v>
      </c>
      <c r="AAN18" s="11">
        <v>14.0</v>
      </c>
      <c r="AAP18" s="12">
        <v>40.0</v>
      </c>
      <c r="AAQ18" s="10">
        <v>2.0</v>
      </c>
      <c r="AAR18" s="10">
        <v>21.0</v>
      </c>
      <c r="AAS18" s="11">
        <v>17.0</v>
      </c>
      <c r="AAU18" s="12">
        <v>40.0</v>
      </c>
      <c r="AAV18" s="10">
        <v>11.0</v>
      </c>
      <c r="AAW18" s="10">
        <v>7.0</v>
      </c>
      <c r="AAX18" s="11">
        <v>22.0</v>
      </c>
      <c r="AAZ18" s="12">
        <v>40.0</v>
      </c>
      <c r="ABA18" s="10">
        <v>4.0</v>
      </c>
      <c r="ABB18" s="10">
        <v>7.0</v>
      </c>
      <c r="ABC18" s="11">
        <v>29.0</v>
      </c>
      <c r="ABE18" s="12">
        <v>40.0</v>
      </c>
      <c r="ABF18" s="10">
        <v>7.0</v>
      </c>
      <c r="ABG18" s="10">
        <v>9.0</v>
      </c>
      <c r="ABH18" s="11">
        <v>24.0</v>
      </c>
      <c r="ABJ18" s="12">
        <v>40.0</v>
      </c>
      <c r="ABK18" s="10">
        <v>11.0</v>
      </c>
      <c r="ABL18" s="10">
        <v>9.0</v>
      </c>
      <c r="ABM18" s="11">
        <v>20.0</v>
      </c>
      <c r="ABO18" s="12">
        <v>40.0</v>
      </c>
      <c r="ABP18" s="10">
        <v>5.0</v>
      </c>
      <c r="ABQ18" s="10">
        <v>9.0</v>
      </c>
      <c r="ABR18" s="11">
        <v>26.0</v>
      </c>
      <c r="ABT18" s="12">
        <v>40.0</v>
      </c>
      <c r="ABU18" s="10">
        <v>7.0</v>
      </c>
      <c r="ABV18" s="10">
        <v>10.0</v>
      </c>
      <c r="ABW18" s="11">
        <v>23.0</v>
      </c>
      <c r="ABY18" s="12">
        <v>40.0</v>
      </c>
      <c r="ABZ18" s="10">
        <v>1.0</v>
      </c>
      <c r="ACA18" s="10">
        <v>10.0</v>
      </c>
      <c r="ACB18" s="11">
        <v>29.0</v>
      </c>
      <c r="ACD18" s="12">
        <v>40.0</v>
      </c>
      <c r="ACE18" s="10">
        <v>9.0</v>
      </c>
      <c r="ACF18" s="10">
        <v>7.0</v>
      </c>
      <c r="ACG18" s="11">
        <v>24.0</v>
      </c>
      <c r="ACI18" s="12">
        <v>40.0</v>
      </c>
      <c r="ACJ18" s="10">
        <v>3.0</v>
      </c>
      <c r="ACK18" s="10">
        <v>10.0</v>
      </c>
      <c r="ACL18" s="11">
        <v>27.0</v>
      </c>
      <c r="ACN18" s="12">
        <v>40.0</v>
      </c>
      <c r="ACO18" s="10">
        <v>3.0</v>
      </c>
      <c r="ACP18" s="10">
        <v>3.0</v>
      </c>
      <c r="ACQ18" s="11">
        <v>34.0</v>
      </c>
      <c r="ACS18" s="12">
        <v>40.0</v>
      </c>
      <c r="ACT18" s="10">
        <v>4.0</v>
      </c>
      <c r="ACU18" s="10">
        <v>9.0</v>
      </c>
      <c r="ACV18" s="11">
        <v>27.0</v>
      </c>
      <c r="ACX18" s="12">
        <v>40.0</v>
      </c>
      <c r="ACY18" s="10">
        <v>0.0</v>
      </c>
      <c r="ACZ18" s="10">
        <v>18.0</v>
      </c>
      <c r="ADA18" s="11">
        <v>22.0</v>
      </c>
      <c r="ADC18" s="12">
        <v>40.0</v>
      </c>
      <c r="ADD18" s="10">
        <v>2.0</v>
      </c>
      <c r="ADE18" s="10">
        <v>9.0</v>
      </c>
      <c r="ADF18" s="11">
        <v>29.0</v>
      </c>
      <c r="ADH18" s="12">
        <v>40.0</v>
      </c>
      <c r="ADI18" s="10">
        <v>1.0</v>
      </c>
      <c r="ADJ18" s="10">
        <v>13.0</v>
      </c>
      <c r="ADK18" s="11">
        <v>26.0</v>
      </c>
      <c r="ADM18" s="12">
        <v>40.0</v>
      </c>
      <c r="ADN18" s="10">
        <v>1.0</v>
      </c>
      <c r="ADO18" s="10">
        <v>7.0</v>
      </c>
      <c r="ADP18" s="11">
        <v>32.0</v>
      </c>
      <c r="ADR18" s="12">
        <v>40.0</v>
      </c>
      <c r="ADS18" s="10">
        <v>1.0</v>
      </c>
      <c r="ADT18" s="10">
        <v>9.0</v>
      </c>
      <c r="ADU18" s="11">
        <v>30.0</v>
      </c>
      <c r="ADW18" s="12">
        <v>40.0</v>
      </c>
      <c r="ADX18" s="10">
        <v>2.0</v>
      </c>
      <c r="ADY18" s="10">
        <v>11.0</v>
      </c>
      <c r="ADZ18" s="11">
        <v>27.0</v>
      </c>
      <c r="AEB18" s="12">
        <v>40.0</v>
      </c>
      <c r="AEC18" s="10">
        <v>1.0</v>
      </c>
      <c r="AED18" s="10">
        <v>5.0</v>
      </c>
      <c r="AEE18" s="11">
        <v>34.0</v>
      </c>
      <c r="AEG18" s="12">
        <v>40.0</v>
      </c>
      <c r="AEH18" s="10">
        <v>1.0</v>
      </c>
      <c r="AEI18" s="10">
        <v>12.0</v>
      </c>
      <c r="AEJ18" s="11">
        <v>27.0</v>
      </c>
      <c r="AEL18" s="12">
        <v>40.0</v>
      </c>
      <c r="AEM18" s="10">
        <v>3.0</v>
      </c>
      <c r="AEN18" s="10">
        <v>17.0</v>
      </c>
      <c r="AEO18" s="11">
        <v>20.0</v>
      </c>
      <c r="AEQ18" s="12">
        <v>40.0</v>
      </c>
      <c r="AER18" s="10">
        <v>3.0</v>
      </c>
      <c r="AES18" s="10">
        <v>6.0</v>
      </c>
      <c r="AET18" s="11">
        <v>31.0</v>
      </c>
      <c r="AEV18" s="12">
        <v>40.0</v>
      </c>
      <c r="AEW18" s="10">
        <v>3.0</v>
      </c>
      <c r="AEX18" s="10">
        <v>13.0</v>
      </c>
      <c r="AEY18" s="11">
        <v>24.0</v>
      </c>
      <c r="AFA18" s="12">
        <v>40.0</v>
      </c>
      <c r="AFB18" s="10">
        <v>3.0</v>
      </c>
      <c r="AFC18" s="10">
        <v>6.0</v>
      </c>
      <c r="AFD18" s="11">
        <v>31.0</v>
      </c>
      <c r="AFF18" s="12">
        <v>40.0</v>
      </c>
      <c r="AFG18" s="10">
        <v>1.0</v>
      </c>
      <c r="AFH18" s="10">
        <v>9.0</v>
      </c>
      <c r="AFI18" s="11">
        <v>30.0</v>
      </c>
      <c r="AFK18" s="12">
        <v>40.0</v>
      </c>
      <c r="AFL18" s="10">
        <v>7.0</v>
      </c>
      <c r="AFM18" s="10">
        <v>8.0</v>
      </c>
      <c r="AFN18" s="11">
        <v>25.0</v>
      </c>
      <c r="AFP18" s="12">
        <v>40.0</v>
      </c>
      <c r="AFQ18" s="10">
        <v>5.0</v>
      </c>
      <c r="AFR18" s="10">
        <v>7.0</v>
      </c>
      <c r="AFS18" s="11">
        <v>28.0</v>
      </c>
      <c r="AFU18" s="12">
        <v>40.0</v>
      </c>
      <c r="AFV18" s="10">
        <v>5.0</v>
      </c>
      <c r="AFW18" s="10">
        <v>7.0</v>
      </c>
      <c r="AFX18" s="11">
        <v>28.0</v>
      </c>
      <c r="AFZ18" s="12">
        <v>40.0</v>
      </c>
      <c r="AGA18" s="10">
        <v>5.0</v>
      </c>
      <c r="AGB18" s="10">
        <v>14.0</v>
      </c>
      <c r="AGC18" s="11">
        <v>21.0</v>
      </c>
      <c r="AGE18" s="12">
        <v>40.0</v>
      </c>
      <c r="AGF18" s="10">
        <v>8.0</v>
      </c>
      <c r="AGG18" s="10">
        <v>5.0</v>
      </c>
      <c r="AGH18" s="11">
        <v>27.0</v>
      </c>
      <c r="AGJ18" s="12">
        <v>40.0</v>
      </c>
      <c r="AGK18" s="10">
        <v>11.0</v>
      </c>
      <c r="AGL18" s="10">
        <v>8.0</v>
      </c>
      <c r="AGM18" s="11">
        <v>21.0</v>
      </c>
      <c r="AGO18" s="12">
        <v>40.0</v>
      </c>
      <c r="AGP18" s="10">
        <v>11.0</v>
      </c>
      <c r="AGQ18" s="10">
        <v>6.0</v>
      </c>
      <c r="AGR18" s="11">
        <v>23.0</v>
      </c>
      <c r="AGT18" s="12">
        <v>40.0</v>
      </c>
      <c r="AGU18" s="10">
        <v>4.0</v>
      </c>
      <c r="AGV18" s="10">
        <v>14.0</v>
      </c>
      <c r="AGW18" s="11">
        <v>22.0</v>
      </c>
      <c r="AGY18" s="12">
        <v>40.0</v>
      </c>
      <c r="AGZ18" s="10">
        <v>2.0</v>
      </c>
      <c r="AHA18" s="10">
        <v>11.0</v>
      </c>
      <c r="AHB18" s="11">
        <v>27.0</v>
      </c>
      <c r="AHD18" s="12">
        <v>40.0</v>
      </c>
      <c r="AHE18" s="10">
        <v>4.0</v>
      </c>
      <c r="AHF18" s="10">
        <v>8.0</v>
      </c>
      <c r="AHG18" s="11">
        <v>28.0</v>
      </c>
      <c r="AHI18" s="12">
        <v>40.0</v>
      </c>
      <c r="AHJ18" s="10">
        <v>2.0</v>
      </c>
      <c r="AHK18" s="10">
        <v>10.0</v>
      </c>
      <c r="AHL18" s="11">
        <v>28.0</v>
      </c>
      <c r="AHN18" s="12">
        <v>40.0</v>
      </c>
      <c r="AHO18" s="10">
        <v>7.0</v>
      </c>
      <c r="AHP18" s="10">
        <v>11.0</v>
      </c>
      <c r="AHQ18" s="11">
        <v>22.0</v>
      </c>
      <c r="AHS18" s="12">
        <v>40.0</v>
      </c>
      <c r="AHT18" s="10">
        <v>5.0</v>
      </c>
      <c r="AHU18" s="10">
        <v>6.0</v>
      </c>
      <c r="AHV18" s="11">
        <v>29.0</v>
      </c>
      <c r="AHX18" s="12">
        <v>40.0</v>
      </c>
      <c r="AHY18" s="10">
        <v>2.0</v>
      </c>
      <c r="AHZ18" s="10">
        <v>11.0</v>
      </c>
      <c r="AIA18" s="11">
        <v>27.0</v>
      </c>
      <c r="AIC18" s="12">
        <v>40.0</v>
      </c>
      <c r="AID18" s="10">
        <v>2.0</v>
      </c>
      <c r="AIE18" s="10">
        <v>7.0</v>
      </c>
      <c r="AIF18" s="11">
        <v>31.0</v>
      </c>
      <c r="AIH18" s="12">
        <v>40.0</v>
      </c>
      <c r="AII18" s="10">
        <v>2.0</v>
      </c>
      <c r="AIJ18" s="10">
        <v>17.0</v>
      </c>
      <c r="AIK18" s="11">
        <v>21.0</v>
      </c>
      <c r="AIM18" s="12">
        <v>40.0</v>
      </c>
      <c r="AIN18" s="10">
        <v>0.0</v>
      </c>
      <c r="AIO18" s="10">
        <v>15.0</v>
      </c>
      <c r="AIP18" s="11">
        <v>25.0</v>
      </c>
      <c r="AIR18" s="12">
        <v>40.0</v>
      </c>
      <c r="AIS18" s="10">
        <v>1.0</v>
      </c>
      <c r="AIT18" s="10">
        <v>8.0</v>
      </c>
      <c r="AIU18" s="11">
        <v>31.0</v>
      </c>
      <c r="AIW18" s="12">
        <v>40.0</v>
      </c>
      <c r="AIX18" s="10">
        <v>4.0</v>
      </c>
      <c r="AIY18" s="10">
        <v>12.0</v>
      </c>
      <c r="AIZ18" s="11">
        <v>24.0</v>
      </c>
      <c r="AJB18" s="12">
        <v>40.0</v>
      </c>
      <c r="AJC18" s="10">
        <v>2.0</v>
      </c>
      <c r="AJD18" s="10">
        <v>15.0</v>
      </c>
      <c r="AJE18" s="11">
        <v>23.0</v>
      </c>
      <c r="AJG18" s="12">
        <v>40.0</v>
      </c>
      <c r="AJH18" s="10">
        <v>4.0</v>
      </c>
      <c r="AJI18" s="10">
        <v>7.0</v>
      </c>
      <c r="AJJ18" s="11">
        <v>29.0</v>
      </c>
      <c r="AJL18" s="12">
        <v>40.0</v>
      </c>
      <c r="AJM18" s="10">
        <v>2.0</v>
      </c>
      <c r="AJN18" s="10">
        <v>12.0</v>
      </c>
      <c r="AJO18" s="11">
        <v>26.0</v>
      </c>
      <c r="AJQ18" s="12">
        <v>40.0</v>
      </c>
      <c r="AJR18" s="10">
        <v>4.0</v>
      </c>
      <c r="AJS18" s="10">
        <v>5.0</v>
      </c>
      <c r="AJT18" s="11">
        <v>31.0</v>
      </c>
      <c r="AJV18" s="12">
        <v>40.0</v>
      </c>
      <c r="AJW18" s="10">
        <v>2.0</v>
      </c>
      <c r="AJX18" s="10">
        <v>16.0</v>
      </c>
      <c r="AJY18" s="11">
        <v>22.0</v>
      </c>
    </row>
    <row r="19" ht="15.75" customHeight="1">
      <c r="A19" s="13"/>
      <c r="B19" s="18" t="s">
        <v>196</v>
      </c>
      <c r="C19" s="19">
        <v>1.0</v>
      </c>
      <c r="D19" s="19">
        <v>1.0</v>
      </c>
      <c r="E19" s="19">
        <v>1.0</v>
      </c>
      <c r="F19" s="20">
        <v>1.0</v>
      </c>
      <c r="H19" s="21">
        <v>1.0</v>
      </c>
      <c r="I19" s="19">
        <v>1.0</v>
      </c>
      <c r="J19" s="19">
        <v>1.0</v>
      </c>
      <c r="K19" s="20">
        <v>1.0</v>
      </c>
      <c r="M19" s="21">
        <v>1.0</v>
      </c>
      <c r="N19" s="19">
        <v>1.0</v>
      </c>
      <c r="O19" s="19">
        <v>1.0</v>
      </c>
      <c r="P19" s="20">
        <v>1.0</v>
      </c>
      <c r="R19" s="21">
        <v>1.0</v>
      </c>
      <c r="S19" s="19">
        <v>1.0</v>
      </c>
      <c r="T19" s="19">
        <v>1.0</v>
      </c>
      <c r="U19" s="20">
        <v>1.0</v>
      </c>
      <c r="W19" s="21">
        <v>1.0</v>
      </c>
      <c r="X19" s="19">
        <v>1.0</v>
      </c>
      <c r="Y19" s="19">
        <v>1.0</v>
      </c>
      <c r="Z19" s="20">
        <v>1.0</v>
      </c>
      <c r="AB19" s="21">
        <v>1.0</v>
      </c>
      <c r="AC19" s="19">
        <v>1.0</v>
      </c>
      <c r="AD19" s="19">
        <v>1.0</v>
      </c>
      <c r="AE19" s="20">
        <v>1.0</v>
      </c>
      <c r="AG19" s="21">
        <v>1.0</v>
      </c>
      <c r="AH19" s="19">
        <v>1.0</v>
      </c>
      <c r="AI19" s="19">
        <v>1.0</v>
      </c>
      <c r="AJ19" s="20">
        <v>1.0</v>
      </c>
      <c r="AL19" s="21">
        <v>1.0</v>
      </c>
      <c r="AM19" s="19">
        <v>1.0</v>
      </c>
      <c r="AN19" s="19">
        <v>1.0</v>
      </c>
      <c r="AO19" s="20">
        <v>1.0</v>
      </c>
      <c r="AQ19" s="21">
        <v>1.0</v>
      </c>
      <c r="AR19" s="19">
        <v>1.0</v>
      </c>
      <c r="AS19" s="19">
        <v>1.0</v>
      </c>
      <c r="AT19" s="20">
        <v>1.0</v>
      </c>
      <c r="AV19" s="21">
        <v>1.0</v>
      </c>
      <c r="AW19" s="19">
        <v>1.0</v>
      </c>
      <c r="AX19" s="19">
        <v>1.0</v>
      </c>
      <c r="AY19" s="20">
        <v>1.0</v>
      </c>
      <c r="BA19" s="21">
        <v>1.0</v>
      </c>
      <c r="BB19" s="19">
        <v>1.0</v>
      </c>
      <c r="BC19" s="19">
        <v>1.0</v>
      </c>
      <c r="BD19" s="20">
        <v>1.0</v>
      </c>
      <c r="BF19" s="21">
        <v>1.0</v>
      </c>
      <c r="BG19" s="19">
        <v>1.0</v>
      </c>
      <c r="BH19" s="19">
        <v>1.0</v>
      </c>
      <c r="BI19" s="20">
        <v>1.0</v>
      </c>
      <c r="BK19" s="21">
        <v>1.0</v>
      </c>
      <c r="BL19" s="19">
        <v>1.0</v>
      </c>
      <c r="BM19" s="19">
        <v>1.0</v>
      </c>
      <c r="BN19" s="20">
        <v>1.0</v>
      </c>
      <c r="BP19" s="21">
        <v>1.0</v>
      </c>
      <c r="BQ19" s="19">
        <v>1.0</v>
      </c>
      <c r="BR19" s="19">
        <v>1.0</v>
      </c>
      <c r="BS19" s="20">
        <v>1.0</v>
      </c>
      <c r="BU19" s="21">
        <v>1.0</v>
      </c>
      <c r="BV19" s="19">
        <v>1.0</v>
      </c>
      <c r="BW19" s="19">
        <v>1.0</v>
      </c>
      <c r="BX19" s="20">
        <v>1.0</v>
      </c>
      <c r="BZ19" s="21">
        <v>1.0</v>
      </c>
      <c r="CA19" s="19">
        <v>1.0</v>
      </c>
      <c r="CB19" s="19">
        <v>1.0</v>
      </c>
      <c r="CC19" s="20">
        <v>1.0</v>
      </c>
      <c r="CE19" s="21">
        <v>1.0</v>
      </c>
      <c r="CF19" s="19">
        <v>1.0</v>
      </c>
      <c r="CG19" s="19">
        <v>1.0</v>
      </c>
      <c r="CH19" s="20">
        <v>1.0</v>
      </c>
      <c r="CJ19" s="21">
        <v>1.0</v>
      </c>
      <c r="CK19" s="19">
        <v>1.0</v>
      </c>
      <c r="CL19" s="19">
        <v>1.0</v>
      </c>
      <c r="CM19" s="20">
        <v>1.0</v>
      </c>
      <c r="CO19" s="21">
        <v>1.0</v>
      </c>
      <c r="CP19" s="19">
        <v>1.0</v>
      </c>
      <c r="CQ19" s="19">
        <v>1.0</v>
      </c>
      <c r="CR19" s="20">
        <v>1.0</v>
      </c>
      <c r="CT19" s="21">
        <v>1.0</v>
      </c>
      <c r="CU19" s="19">
        <v>1.0</v>
      </c>
      <c r="CV19" s="19">
        <v>1.0</v>
      </c>
      <c r="CW19" s="20">
        <v>1.0</v>
      </c>
      <c r="CY19" s="21">
        <v>1.0</v>
      </c>
      <c r="CZ19" s="19">
        <v>1.0</v>
      </c>
      <c r="DA19" s="19">
        <v>1.0</v>
      </c>
      <c r="DB19" s="20">
        <v>1.0</v>
      </c>
      <c r="DD19" s="21">
        <v>1.0</v>
      </c>
      <c r="DE19" s="19">
        <v>1.0</v>
      </c>
      <c r="DF19" s="19">
        <v>1.0</v>
      </c>
      <c r="DG19" s="20">
        <v>1.0</v>
      </c>
      <c r="DI19" s="21">
        <v>1.0</v>
      </c>
      <c r="DJ19" s="19">
        <v>1.0</v>
      </c>
      <c r="DK19" s="19">
        <v>1.0</v>
      </c>
      <c r="DL19" s="20">
        <v>1.0</v>
      </c>
      <c r="DN19" s="21">
        <v>1.0</v>
      </c>
      <c r="DO19" s="19">
        <v>1.0</v>
      </c>
      <c r="DP19" s="19">
        <v>1.0</v>
      </c>
      <c r="DQ19" s="20">
        <v>1.0</v>
      </c>
      <c r="DS19" s="21">
        <v>1.0</v>
      </c>
      <c r="DT19" s="19">
        <v>1.0</v>
      </c>
      <c r="DU19" s="19">
        <v>1.0</v>
      </c>
      <c r="DV19" s="20">
        <v>1.0</v>
      </c>
      <c r="DX19" s="21">
        <v>1.0</v>
      </c>
      <c r="DY19" s="19">
        <v>1.0</v>
      </c>
      <c r="DZ19" s="19">
        <v>1.0</v>
      </c>
      <c r="EA19" s="20">
        <v>1.0</v>
      </c>
      <c r="EC19" s="21">
        <v>1.0</v>
      </c>
      <c r="ED19" s="19">
        <v>1.0</v>
      </c>
      <c r="EE19" s="19">
        <v>1.0</v>
      </c>
      <c r="EF19" s="20">
        <v>1.0</v>
      </c>
      <c r="EH19" s="21">
        <v>1.0</v>
      </c>
      <c r="EI19" s="19">
        <v>1.0</v>
      </c>
      <c r="EJ19" s="19">
        <v>1.0</v>
      </c>
      <c r="EK19" s="20">
        <v>1.0</v>
      </c>
      <c r="EM19" s="21">
        <v>1.0</v>
      </c>
      <c r="EN19" s="19">
        <v>1.0</v>
      </c>
      <c r="EO19" s="19">
        <v>1.0</v>
      </c>
      <c r="EP19" s="20">
        <v>1.0</v>
      </c>
      <c r="ER19" s="21">
        <v>1.0</v>
      </c>
      <c r="ES19" s="19">
        <v>1.0</v>
      </c>
      <c r="ET19" s="19">
        <v>1.0</v>
      </c>
      <c r="EU19" s="20">
        <v>1.0</v>
      </c>
      <c r="EW19" s="21">
        <v>1.0</v>
      </c>
      <c r="EX19" s="19">
        <v>1.0</v>
      </c>
      <c r="EY19" s="19">
        <v>1.0</v>
      </c>
      <c r="EZ19" s="20">
        <v>1.0</v>
      </c>
      <c r="FB19" s="21">
        <v>1.0</v>
      </c>
      <c r="FC19" s="19">
        <v>1.0</v>
      </c>
      <c r="FD19" s="19">
        <v>1.0</v>
      </c>
      <c r="FE19" s="20">
        <v>1.0</v>
      </c>
      <c r="FG19" s="21">
        <v>1.0</v>
      </c>
      <c r="FH19" s="19">
        <v>1.0</v>
      </c>
      <c r="FI19" s="19">
        <v>1.0</v>
      </c>
      <c r="FJ19" s="20">
        <v>1.0</v>
      </c>
      <c r="FL19" s="21">
        <v>1.0</v>
      </c>
      <c r="FM19" s="19">
        <v>1.0</v>
      </c>
      <c r="FN19" s="19">
        <v>1.0</v>
      </c>
      <c r="FO19" s="20">
        <v>1.0</v>
      </c>
      <c r="FQ19" s="21">
        <v>1.0</v>
      </c>
      <c r="FR19" s="19">
        <v>1.0</v>
      </c>
      <c r="FS19" s="19">
        <v>1.0</v>
      </c>
      <c r="FT19" s="20">
        <v>1.0</v>
      </c>
      <c r="FV19" s="21">
        <v>1.0</v>
      </c>
      <c r="FW19" s="19">
        <v>1.0</v>
      </c>
      <c r="FX19" s="19">
        <v>1.0</v>
      </c>
      <c r="FY19" s="20">
        <v>1.0</v>
      </c>
      <c r="GA19" s="21">
        <v>1.0</v>
      </c>
      <c r="GB19" s="19">
        <v>1.0</v>
      </c>
      <c r="GC19" s="19">
        <v>1.0</v>
      </c>
      <c r="GD19" s="20">
        <v>1.0</v>
      </c>
      <c r="GF19" s="21">
        <v>1.0</v>
      </c>
      <c r="GG19" s="19">
        <v>1.0</v>
      </c>
      <c r="GH19" s="19">
        <v>1.0</v>
      </c>
      <c r="GI19" s="20">
        <v>1.0</v>
      </c>
      <c r="GK19" s="21">
        <v>1.0</v>
      </c>
      <c r="GL19" s="19">
        <v>1.0</v>
      </c>
      <c r="GM19" s="19">
        <v>1.0</v>
      </c>
      <c r="GN19" s="20">
        <v>1.0</v>
      </c>
      <c r="GP19" s="21">
        <v>1.0</v>
      </c>
      <c r="GQ19" s="19">
        <v>1.0</v>
      </c>
      <c r="GR19" s="19">
        <v>1.0</v>
      </c>
      <c r="GS19" s="20">
        <v>1.0</v>
      </c>
      <c r="GU19" s="21">
        <v>1.0</v>
      </c>
      <c r="GV19" s="19">
        <v>1.0</v>
      </c>
      <c r="GW19" s="19">
        <v>1.0</v>
      </c>
      <c r="GX19" s="20">
        <v>1.0</v>
      </c>
      <c r="GZ19" s="21">
        <v>1.0</v>
      </c>
      <c r="HA19" s="19">
        <v>1.0</v>
      </c>
      <c r="HB19" s="19">
        <v>1.0</v>
      </c>
      <c r="HC19" s="20">
        <v>1.0</v>
      </c>
      <c r="HE19" s="21">
        <v>1.0</v>
      </c>
      <c r="HF19" s="19">
        <v>1.0</v>
      </c>
      <c r="HG19" s="19">
        <v>1.0</v>
      </c>
      <c r="HH19" s="20">
        <v>1.0</v>
      </c>
      <c r="HJ19" s="21">
        <v>1.0</v>
      </c>
      <c r="HK19" s="19">
        <v>1.0</v>
      </c>
      <c r="HL19" s="19">
        <v>1.0</v>
      </c>
      <c r="HM19" s="20">
        <v>1.0</v>
      </c>
      <c r="HO19" s="21">
        <v>1.0</v>
      </c>
      <c r="HP19" s="19">
        <v>1.0</v>
      </c>
      <c r="HQ19" s="19">
        <v>1.0</v>
      </c>
      <c r="HR19" s="20">
        <v>1.0</v>
      </c>
      <c r="HT19" s="21">
        <v>1.0</v>
      </c>
      <c r="HU19" s="19">
        <v>1.0</v>
      </c>
      <c r="HV19" s="19">
        <v>1.0</v>
      </c>
      <c r="HW19" s="20">
        <v>1.0</v>
      </c>
      <c r="HY19" s="21">
        <v>1.0</v>
      </c>
      <c r="HZ19" s="19">
        <v>1.0</v>
      </c>
      <c r="IA19" s="19">
        <v>1.0</v>
      </c>
      <c r="IB19" s="20">
        <v>1.0</v>
      </c>
      <c r="ID19" s="21">
        <v>1.0</v>
      </c>
      <c r="IE19" s="19">
        <v>1.0</v>
      </c>
      <c r="IF19" s="19">
        <v>1.0</v>
      </c>
      <c r="IG19" s="20">
        <v>1.0</v>
      </c>
      <c r="II19" s="21">
        <v>1.0</v>
      </c>
      <c r="IJ19" s="19">
        <v>1.0</v>
      </c>
      <c r="IK19" s="19">
        <v>1.0</v>
      </c>
      <c r="IL19" s="20">
        <v>1.0</v>
      </c>
      <c r="IN19" s="21">
        <v>1.0</v>
      </c>
      <c r="IO19" s="19">
        <v>1.0</v>
      </c>
      <c r="IP19" s="19">
        <v>1.0</v>
      </c>
      <c r="IQ19" s="20">
        <v>1.0</v>
      </c>
      <c r="IS19" s="21">
        <v>1.0</v>
      </c>
      <c r="IT19" s="19">
        <v>1.0</v>
      </c>
      <c r="IU19" s="19">
        <v>1.0</v>
      </c>
      <c r="IV19" s="20">
        <v>1.0</v>
      </c>
      <c r="IX19" s="21">
        <v>1.0</v>
      </c>
      <c r="IY19" s="19">
        <v>1.0</v>
      </c>
      <c r="IZ19" s="19">
        <v>1.0</v>
      </c>
      <c r="JA19" s="20">
        <v>1.0</v>
      </c>
      <c r="JC19" s="21">
        <v>1.0</v>
      </c>
      <c r="JD19" s="19">
        <v>1.0</v>
      </c>
      <c r="JE19" s="19">
        <v>1.0</v>
      </c>
      <c r="JF19" s="20">
        <v>1.0</v>
      </c>
      <c r="JH19" s="21">
        <v>1.0</v>
      </c>
      <c r="JI19" s="19">
        <v>1.0</v>
      </c>
      <c r="JJ19" s="19">
        <v>1.0</v>
      </c>
      <c r="JK19" s="20">
        <v>1.0</v>
      </c>
      <c r="JM19" s="21">
        <v>1.0</v>
      </c>
      <c r="JN19" s="19">
        <v>1.0</v>
      </c>
      <c r="JO19" s="19">
        <v>1.0</v>
      </c>
      <c r="JP19" s="20">
        <v>1.0</v>
      </c>
      <c r="JR19" s="21">
        <v>1.0</v>
      </c>
      <c r="JS19" s="19">
        <v>1.0</v>
      </c>
      <c r="JT19" s="19">
        <v>1.0</v>
      </c>
      <c r="JU19" s="20">
        <v>1.0</v>
      </c>
      <c r="JW19" s="21">
        <v>1.0</v>
      </c>
      <c r="JX19" s="19">
        <v>1.0</v>
      </c>
      <c r="JY19" s="19">
        <v>1.0</v>
      </c>
      <c r="JZ19" s="20">
        <v>1.0</v>
      </c>
      <c r="KB19" s="21">
        <v>1.0</v>
      </c>
      <c r="KC19" s="19">
        <v>1.0</v>
      </c>
      <c r="KD19" s="19">
        <v>1.0</v>
      </c>
      <c r="KE19" s="20">
        <v>1.0</v>
      </c>
      <c r="KG19" s="21">
        <v>1.0</v>
      </c>
      <c r="KH19" s="19">
        <v>1.0</v>
      </c>
      <c r="KI19" s="19">
        <v>1.0</v>
      </c>
      <c r="KJ19" s="20">
        <v>1.0</v>
      </c>
      <c r="KL19" s="21">
        <v>1.0</v>
      </c>
      <c r="KM19" s="19">
        <v>1.0</v>
      </c>
      <c r="KN19" s="19">
        <v>1.0</v>
      </c>
      <c r="KO19" s="20">
        <v>1.0</v>
      </c>
      <c r="KQ19" s="21">
        <v>1.0</v>
      </c>
      <c r="KR19" s="19">
        <v>1.0</v>
      </c>
      <c r="KS19" s="19">
        <v>1.0</v>
      </c>
      <c r="KT19" s="20">
        <v>1.0</v>
      </c>
      <c r="KV19" s="21">
        <v>1.0</v>
      </c>
      <c r="KW19" s="19">
        <v>1.0</v>
      </c>
      <c r="KX19" s="19">
        <v>1.0</v>
      </c>
      <c r="KY19" s="20">
        <v>1.0</v>
      </c>
      <c r="LA19" s="21">
        <v>1.0</v>
      </c>
      <c r="LB19" s="19">
        <v>1.0</v>
      </c>
      <c r="LC19" s="19">
        <v>1.0</v>
      </c>
      <c r="LD19" s="20">
        <v>1.0</v>
      </c>
      <c r="LF19" s="21">
        <v>1.0</v>
      </c>
      <c r="LG19" s="19">
        <v>1.0</v>
      </c>
      <c r="LH19" s="19">
        <v>1.0</v>
      </c>
      <c r="LI19" s="20">
        <v>1.0</v>
      </c>
      <c r="LK19" s="21">
        <v>1.0</v>
      </c>
      <c r="LL19" s="19">
        <v>1.0</v>
      </c>
      <c r="LM19" s="19">
        <v>1.0</v>
      </c>
      <c r="LN19" s="20">
        <v>1.0</v>
      </c>
      <c r="LP19" s="21">
        <v>1.0</v>
      </c>
      <c r="LQ19" s="19">
        <v>1.0</v>
      </c>
      <c r="LR19" s="19">
        <v>1.0</v>
      </c>
      <c r="LS19" s="20">
        <v>1.0</v>
      </c>
      <c r="LU19" s="21">
        <v>1.0</v>
      </c>
      <c r="LV19" s="19">
        <v>1.0</v>
      </c>
      <c r="LW19" s="19">
        <v>1.0</v>
      </c>
      <c r="LX19" s="20">
        <v>1.0</v>
      </c>
      <c r="LZ19" s="21">
        <v>1.0</v>
      </c>
      <c r="MA19" s="19">
        <v>1.0</v>
      </c>
      <c r="MB19" s="19">
        <v>1.0</v>
      </c>
      <c r="MC19" s="20">
        <v>1.0</v>
      </c>
      <c r="ME19" s="21">
        <v>1.0</v>
      </c>
      <c r="MF19" s="19">
        <v>1.0</v>
      </c>
      <c r="MG19" s="19">
        <v>1.0</v>
      </c>
      <c r="MH19" s="20">
        <v>1.0</v>
      </c>
      <c r="MJ19" s="21">
        <v>1.0</v>
      </c>
      <c r="MK19" s="19">
        <v>1.0</v>
      </c>
      <c r="ML19" s="19">
        <v>1.0</v>
      </c>
      <c r="MM19" s="20">
        <v>1.0</v>
      </c>
      <c r="MO19" s="21">
        <v>1.0</v>
      </c>
      <c r="MP19" s="19">
        <v>1.0</v>
      </c>
      <c r="MQ19" s="19">
        <v>1.0</v>
      </c>
      <c r="MR19" s="20">
        <v>1.0</v>
      </c>
      <c r="MT19" s="21">
        <v>1.0</v>
      </c>
      <c r="MU19" s="19">
        <v>1.0</v>
      </c>
      <c r="MV19" s="19">
        <v>1.0</v>
      </c>
      <c r="MW19" s="20">
        <v>1.0</v>
      </c>
      <c r="MY19" s="21">
        <v>1.0</v>
      </c>
      <c r="MZ19" s="19">
        <v>1.0</v>
      </c>
      <c r="NA19" s="19">
        <v>1.0</v>
      </c>
      <c r="NB19" s="20">
        <v>1.0</v>
      </c>
      <c r="ND19" s="21">
        <v>1.0</v>
      </c>
      <c r="NE19" s="19">
        <v>1.0</v>
      </c>
      <c r="NF19" s="19">
        <v>1.0</v>
      </c>
      <c r="NG19" s="20">
        <v>1.0</v>
      </c>
      <c r="NI19" s="21">
        <v>1.0</v>
      </c>
      <c r="NJ19" s="19">
        <v>1.0</v>
      </c>
      <c r="NK19" s="19">
        <v>1.0</v>
      </c>
      <c r="NL19" s="20">
        <v>1.0</v>
      </c>
      <c r="NN19" s="21">
        <v>1.0</v>
      </c>
      <c r="NO19" s="19">
        <v>1.0</v>
      </c>
      <c r="NP19" s="19">
        <v>1.0</v>
      </c>
      <c r="NQ19" s="20">
        <v>1.0</v>
      </c>
      <c r="NS19" s="21">
        <v>1.0</v>
      </c>
      <c r="NT19" s="19">
        <v>1.0</v>
      </c>
      <c r="NU19" s="19">
        <v>1.0</v>
      </c>
      <c r="NV19" s="20">
        <v>1.0</v>
      </c>
      <c r="NX19" s="21">
        <v>1.0</v>
      </c>
      <c r="NY19" s="19">
        <v>1.0</v>
      </c>
      <c r="NZ19" s="19">
        <v>1.0</v>
      </c>
      <c r="OA19" s="20">
        <v>1.0</v>
      </c>
      <c r="OC19" s="21">
        <v>1.0</v>
      </c>
      <c r="OD19" s="19">
        <v>1.0</v>
      </c>
      <c r="OE19" s="19">
        <v>1.0</v>
      </c>
      <c r="OF19" s="20">
        <v>1.0</v>
      </c>
      <c r="OH19" s="21">
        <v>1.0</v>
      </c>
      <c r="OI19" s="19">
        <v>1.0</v>
      </c>
      <c r="OJ19" s="19">
        <v>1.0</v>
      </c>
      <c r="OK19" s="20">
        <v>1.0</v>
      </c>
      <c r="OM19" s="21">
        <v>1.0</v>
      </c>
      <c r="ON19" s="19">
        <v>1.0</v>
      </c>
      <c r="OO19" s="19">
        <v>1.0</v>
      </c>
      <c r="OP19" s="20">
        <v>1.0</v>
      </c>
      <c r="OR19" s="21">
        <v>1.0</v>
      </c>
      <c r="OS19" s="19">
        <v>1.0</v>
      </c>
      <c r="OT19" s="19">
        <v>1.0</v>
      </c>
      <c r="OU19" s="20">
        <v>1.0</v>
      </c>
      <c r="OW19" s="21">
        <v>1.0</v>
      </c>
      <c r="OX19" s="19">
        <v>1.0</v>
      </c>
      <c r="OY19" s="19">
        <v>1.0</v>
      </c>
      <c r="OZ19" s="20">
        <v>1.0</v>
      </c>
      <c r="PB19" s="21">
        <v>1.0</v>
      </c>
      <c r="PC19" s="19">
        <v>1.0</v>
      </c>
      <c r="PD19" s="19">
        <v>1.0</v>
      </c>
      <c r="PE19" s="20">
        <v>1.0</v>
      </c>
      <c r="PG19" s="21">
        <v>1.0</v>
      </c>
      <c r="PH19" s="19">
        <v>1.0</v>
      </c>
      <c r="PI19" s="19">
        <v>1.0</v>
      </c>
      <c r="PJ19" s="20">
        <v>1.0</v>
      </c>
      <c r="PL19" s="21">
        <v>1.0</v>
      </c>
      <c r="PM19" s="19">
        <v>1.0</v>
      </c>
      <c r="PN19" s="19">
        <v>1.0</v>
      </c>
      <c r="PO19" s="20">
        <v>1.0</v>
      </c>
      <c r="PQ19" s="21">
        <v>1.0</v>
      </c>
      <c r="PR19" s="19">
        <v>1.0</v>
      </c>
      <c r="PS19" s="19">
        <v>1.0</v>
      </c>
      <c r="PT19" s="20">
        <v>1.0</v>
      </c>
      <c r="PV19" s="21">
        <v>1.0</v>
      </c>
      <c r="PW19" s="19">
        <v>1.0</v>
      </c>
      <c r="PX19" s="19">
        <v>1.0</v>
      </c>
      <c r="PY19" s="20">
        <v>1.0</v>
      </c>
      <c r="QA19" s="21">
        <v>1.0</v>
      </c>
      <c r="QB19" s="19">
        <v>1.0</v>
      </c>
      <c r="QC19" s="19">
        <v>1.0</v>
      </c>
      <c r="QD19" s="20">
        <v>1.0</v>
      </c>
      <c r="QF19" s="21">
        <v>1.0</v>
      </c>
      <c r="QG19" s="19">
        <v>1.0</v>
      </c>
      <c r="QH19" s="19">
        <v>1.0</v>
      </c>
      <c r="QI19" s="20">
        <v>1.0</v>
      </c>
      <c r="QK19" s="21">
        <v>1.0</v>
      </c>
      <c r="QL19" s="19">
        <v>1.0</v>
      </c>
      <c r="QM19" s="19">
        <v>1.0</v>
      </c>
      <c r="QN19" s="20">
        <v>1.0</v>
      </c>
      <c r="QP19" s="21">
        <v>1.0</v>
      </c>
      <c r="QQ19" s="19">
        <v>1.0</v>
      </c>
      <c r="QR19" s="19">
        <v>1.0</v>
      </c>
      <c r="QS19" s="20">
        <v>1.0</v>
      </c>
      <c r="QU19" s="21">
        <v>1.0</v>
      </c>
      <c r="QV19" s="19">
        <v>1.0</v>
      </c>
      <c r="QW19" s="19">
        <v>1.0</v>
      </c>
      <c r="QX19" s="20">
        <v>1.0</v>
      </c>
      <c r="QZ19" s="21">
        <v>1.0</v>
      </c>
      <c r="RA19" s="19">
        <v>1.0</v>
      </c>
      <c r="RB19" s="19">
        <v>1.0</v>
      </c>
      <c r="RC19" s="20">
        <v>1.0</v>
      </c>
      <c r="RE19" s="21">
        <v>1.0</v>
      </c>
      <c r="RF19" s="19">
        <v>1.0</v>
      </c>
      <c r="RG19" s="19">
        <v>1.0</v>
      </c>
      <c r="RH19" s="20">
        <v>1.0</v>
      </c>
      <c r="RJ19" s="21">
        <v>1.0</v>
      </c>
      <c r="RK19" s="19">
        <v>1.0</v>
      </c>
      <c r="RL19" s="19">
        <v>1.0</v>
      </c>
      <c r="RM19" s="20">
        <v>1.0</v>
      </c>
      <c r="RO19" s="21">
        <v>1.0</v>
      </c>
      <c r="RP19" s="19">
        <v>1.0</v>
      </c>
      <c r="RQ19" s="19">
        <v>1.0</v>
      </c>
      <c r="RR19" s="20">
        <v>1.0</v>
      </c>
      <c r="RT19" s="21">
        <v>1.0</v>
      </c>
      <c r="RU19" s="19">
        <v>1.0</v>
      </c>
      <c r="RV19" s="19">
        <v>1.0</v>
      </c>
      <c r="RW19" s="20">
        <v>1.0</v>
      </c>
      <c r="RY19" s="21">
        <v>1.0</v>
      </c>
      <c r="RZ19" s="19">
        <v>1.0</v>
      </c>
      <c r="SA19" s="19">
        <v>1.0</v>
      </c>
      <c r="SB19" s="20">
        <v>1.0</v>
      </c>
      <c r="SD19" s="21">
        <v>1.0</v>
      </c>
      <c r="SE19" s="19">
        <v>1.0</v>
      </c>
      <c r="SF19" s="19">
        <v>1.0</v>
      </c>
      <c r="SG19" s="20">
        <v>1.0</v>
      </c>
      <c r="SI19" s="21">
        <v>1.0</v>
      </c>
      <c r="SJ19" s="19">
        <v>1.0</v>
      </c>
      <c r="SK19" s="19">
        <v>1.0</v>
      </c>
      <c r="SL19" s="20">
        <v>1.0</v>
      </c>
      <c r="SN19" s="21">
        <v>1.0</v>
      </c>
      <c r="SO19" s="19">
        <v>1.0</v>
      </c>
      <c r="SP19" s="19">
        <v>1.0</v>
      </c>
      <c r="SQ19" s="20">
        <v>1.0</v>
      </c>
      <c r="SS19" s="21">
        <v>1.0</v>
      </c>
      <c r="ST19" s="19">
        <v>1.0</v>
      </c>
      <c r="SU19" s="19">
        <v>1.0</v>
      </c>
      <c r="SV19" s="20">
        <v>1.0</v>
      </c>
      <c r="SX19" s="21">
        <v>1.0</v>
      </c>
      <c r="SY19" s="19">
        <v>1.0</v>
      </c>
      <c r="SZ19" s="19">
        <v>1.0</v>
      </c>
      <c r="TA19" s="20">
        <v>1.0</v>
      </c>
      <c r="TC19" s="21">
        <v>1.0</v>
      </c>
      <c r="TD19" s="19">
        <v>1.0</v>
      </c>
      <c r="TE19" s="19">
        <v>1.0</v>
      </c>
      <c r="TF19" s="20">
        <v>1.0</v>
      </c>
      <c r="TH19" s="21">
        <v>1.0</v>
      </c>
      <c r="TI19" s="19">
        <v>1.0</v>
      </c>
      <c r="TJ19" s="19">
        <v>1.0</v>
      </c>
      <c r="TK19" s="20">
        <v>1.0</v>
      </c>
      <c r="TM19" s="21">
        <v>1.0</v>
      </c>
      <c r="TN19" s="19">
        <v>1.0</v>
      </c>
      <c r="TO19" s="19">
        <v>1.0</v>
      </c>
      <c r="TP19" s="20">
        <v>1.0</v>
      </c>
      <c r="TR19" s="21">
        <v>1.0</v>
      </c>
      <c r="TS19" s="19">
        <v>1.0</v>
      </c>
      <c r="TT19" s="19">
        <v>1.0</v>
      </c>
      <c r="TU19" s="20">
        <v>1.0</v>
      </c>
      <c r="TW19" s="21">
        <v>1.0</v>
      </c>
      <c r="TX19" s="19">
        <v>1.0</v>
      </c>
      <c r="TY19" s="19">
        <v>1.0</v>
      </c>
      <c r="TZ19" s="20">
        <v>1.0</v>
      </c>
      <c r="UB19" s="21">
        <v>1.0</v>
      </c>
      <c r="UC19" s="19">
        <v>1.0</v>
      </c>
      <c r="UD19" s="19">
        <v>1.0</v>
      </c>
      <c r="UE19" s="20">
        <v>1.0</v>
      </c>
      <c r="UG19" s="21">
        <v>1.0</v>
      </c>
      <c r="UH19" s="19">
        <v>1.0</v>
      </c>
      <c r="UI19" s="19">
        <v>1.0</v>
      </c>
      <c r="UJ19" s="20">
        <v>1.0</v>
      </c>
      <c r="UL19" s="21">
        <v>1.0</v>
      </c>
      <c r="UM19" s="19">
        <v>1.0</v>
      </c>
      <c r="UN19" s="19">
        <v>1.0</v>
      </c>
      <c r="UO19" s="20">
        <v>1.0</v>
      </c>
      <c r="UQ19" s="21">
        <v>1.0</v>
      </c>
      <c r="UR19" s="19">
        <v>1.0</v>
      </c>
      <c r="US19" s="19">
        <v>1.0</v>
      </c>
      <c r="UT19" s="20">
        <v>1.0</v>
      </c>
      <c r="UV19" s="21">
        <v>1.0</v>
      </c>
      <c r="UW19" s="19">
        <v>1.0</v>
      </c>
      <c r="UX19" s="19">
        <v>1.0</v>
      </c>
      <c r="UY19" s="20">
        <v>1.0</v>
      </c>
      <c r="VA19" s="21">
        <v>1.0</v>
      </c>
      <c r="VB19" s="19">
        <v>1.0</v>
      </c>
      <c r="VC19" s="19">
        <v>1.0</v>
      </c>
      <c r="VD19" s="20">
        <v>1.0</v>
      </c>
      <c r="VF19" s="21">
        <v>1.0</v>
      </c>
      <c r="VG19" s="19">
        <v>1.0</v>
      </c>
      <c r="VH19" s="19">
        <v>1.0</v>
      </c>
      <c r="VI19" s="20">
        <v>1.0</v>
      </c>
      <c r="VK19" s="21">
        <v>1.0</v>
      </c>
      <c r="VL19" s="19">
        <v>1.0</v>
      </c>
      <c r="VM19" s="19">
        <v>1.0</v>
      </c>
      <c r="VN19" s="20">
        <v>1.0</v>
      </c>
      <c r="VP19" s="21">
        <v>1.0</v>
      </c>
      <c r="VQ19" s="19">
        <v>1.0</v>
      </c>
      <c r="VR19" s="19">
        <v>1.0</v>
      </c>
      <c r="VS19" s="20">
        <v>1.0</v>
      </c>
      <c r="VU19" s="21">
        <v>1.0</v>
      </c>
      <c r="VV19" s="19">
        <v>1.0</v>
      </c>
      <c r="VW19" s="19">
        <v>1.0</v>
      </c>
      <c r="VX19" s="20">
        <v>1.0</v>
      </c>
      <c r="VZ19" s="21">
        <v>1.0</v>
      </c>
      <c r="WA19" s="19">
        <v>1.0</v>
      </c>
      <c r="WB19" s="19">
        <v>1.0</v>
      </c>
      <c r="WC19" s="20">
        <v>1.0</v>
      </c>
      <c r="WE19" s="21">
        <v>1.0</v>
      </c>
      <c r="WF19" s="19">
        <v>1.0</v>
      </c>
      <c r="WG19" s="19">
        <v>1.0</v>
      </c>
      <c r="WH19" s="20">
        <v>1.0</v>
      </c>
      <c r="WJ19" s="21">
        <v>1.0</v>
      </c>
      <c r="WK19" s="19">
        <v>1.0</v>
      </c>
      <c r="WL19" s="19">
        <v>1.0</v>
      </c>
      <c r="WM19" s="20">
        <v>1.0</v>
      </c>
      <c r="WO19" s="21">
        <v>1.0</v>
      </c>
      <c r="WP19" s="19">
        <v>1.0</v>
      </c>
      <c r="WQ19" s="19">
        <v>1.0</v>
      </c>
      <c r="WR19" s="20">
        <v>1.0</v>
      </c>
      <c r="WT19" s="21">
        <v>1.0</v>
      </c>
      <c r="WU19" s="19">
        <v>1.0</v>
      </c>
      <c r="WV19" s="19">
        <v>1.0</v>
      </c>
      <c r="WW19" s="20">
        <v>1.0</v>
      </c>
      <c r="WY19" s="21">
        <v>1.0</v>
      </c>
      <c r="WZ19" s="19">
        <v>1.0</v>
      </c>
      <c r="XA19" s="19">
        <v>1.0</v>
      </c>
      <c r="XB19" s="20">
        <v>1.0</v>
      </c>
      <c r="XD19" s="21">
        <v>1.0</v>
      </c>
      <c r="XE19" s="19">
        <v>1.0</v>
      </c>
      <c r="XF19" s="19">
        <v>1.0</v>
      </c>
      <c r="XG19" s="20">
        <v>1.0</v>
      </c>
      <c r="XI19" s="21">
        <v>1.0</v>
      </c>
      <c r="XJ19" s="19">
        <v>1.0</v>
      </c>
      <c r="XK19" s="19">
        <v>1.0</v>
      </c>
      <c r="XL19" s="20">
        <v>1.0</v>
      </c>
      <c r="XN19" s="21">
        <v>1.0</v>
      </c>
      <c r="XO19" s="19">
        <v>1.0</v>
      </c>
      <c r="XP19" s="19">
        <v>1.0</v>
      </c>
      <c r="XQ19" s="20">
        <v>1.0</v>
      </c>
      <c r="XS19" s="21">
        <v>1.0</v>
      </c>
      <c r="XT19" s="19">
        <v>1.0</v>
      </c>
      <c r="XU19" s="19">
        <v>1.0</v>
      </c>
      <c r="XV19" s="20">
        <v>1.0</v>
      </c>
      <c r="XX19" s="21">
        <v>1.0</v>
      </c>
      <c r="XY19" s="19">
        <v>1.0</v>
      </c>
      <c r="XZ19" s="19">
        <v>1.0</v>
      </c>
      <c r="YA19" s="20">
        <v>1.0</v>
      </c>
      <c r="YC19" s="21">
        <v>1.0</v>
      </c>
      <c r="YD19" s="19">
        <v>1.0</v>
      </c>
      <c r="YE19" s="19">
        <v>1.0</v>
      </c>
      <c r="YF19" s="20">
        <v>1.0</v>
      </c>
      <c r="YH19" s="21">
        <v>1.0</v>
      </c>
      <c r="YI19" s="19">
        <v>1.0</v>
      </c>
      <c r="YJ19" s="19">
        <v>1.0</v>
      </c>
      <c r="YK19" s="20">
        <v>1.0</v>
      </c>
      <c r="YM19" s="21">
        <v>1.0</v>
      </c>
      <c r="YN19" s="19">
        <v>1.0</v>
      </c>
      <c r="YO19" s="19">
        <v>1.0</v>
      </c>
      <c r="YP19" s="20">
        <v>1.0</v>
      </c>
      <c r="YR19" s="21">
        <v>1.0</v>
      </c>
      <c r="YS19" s="19">
        <v>1.0</v>
      </c>
      <c r="YT19" s="19">
        <v>1.0</v>
      </c>
      <c r="YU19" s="20">
        <v>1.0</v>
      </c>
      <c r="YW19" s="21">
        <v>1.0</v>
      </c>
      <c r="YX19" s="19">
        <v>1.0</v>
      </c>
      <c r="YY19" s="19">
        <v>1.0</v>
      </c>
      <c r="YZ19" s="20">
        <v>1.0</v>
      </c>
      <c r="ZB19" s="21">
        <v>1.0</v>
      </c>
      <c r="ZC19" s="19">
        <v>1.0</v>
      </c>
      <c r="ZD19" s="19">
        <v>1.0</v>
      </c>
      <c r="ZE19" s="20">
        <v>1.0</v>
      </c>
      <c r="ZG19" s="21">
        <v>1.0</v>
      </c>
      <c r="ZH19" s="19">
        <v>1.0</v>
      </c>
      <c r="ZI19" s="19">
        <v>1.0</v>
      </c>
      <c r="ZJ19" s="20">
        <v>1.0</v>
      </c>
      <c r="ZL19" s="21">
        <v>1.0</v>
      </c>
      <c r="ZM19" s="19">
        <v>1.0</v>
      </c>
      <c r="ZN19" s="19">
        <v>1.0</v>
      </c>
      <c r="ZO19" s="20">
        <v>1.0</v>
      </c>
      <c r="ZQ19" s="21">
        <v>1.0</v>
      </c>
      <c r="ZR19" s="19">
        <v>1.0</v>
      </c>
      <c r="ZS19" s="19">
        <v>1.0</v>
      </c>
      <c r="ZT19" s="20">
        <v>1.0</v>
      </c>
      <c r="ZV19" s="21">
        <v>1.0</v>
      </c>
      <c r="ZW19" s="19">
        <v>1.0</v>
      </c>
      <c r="ZX19" s="19">
        <v>1.0</v>
      </c>
      <c r="ZY19" s="20">
        <v>1.0</v>
      </c>
      <c r="AAA19" s="21">
        <v>1.0</v>
      </c>
      <c r="AAB19" s="19">
        <v>1.0</v>
      </c>
      <c r="AAC19" s="19">
        <v>1.0</v>
      </c>
      <c r="AAD19" s="20">
        <v>1.0</v>
      </c>
      <c r="AAF19" s="21">
        <v>1.0</v>
      </c>
      <c r="AAG19" s="19">
        <v>1.0</v>
      </c>
      <c r="AAH19" s="19">
        <v>1.0</v>
      </c>
      <c r="AAI19" s="20">
        <v>1.0</v>
      </c>
      <c r="AAK19" s="21">
        <v>1.0</v>
      </c>
      <c r="AAL19" s="19">
        <v>1.0</v>
      </c>
      <c r="AAM19" s="19">
        <v>1.0</v>
      </c>
      <c r="AAN19" s="20">
        <v>1.0</v>
      </c>
      <c r="AAP19" s="21">
        <v>1.0</v>
      </c>
      <c r="AAQ19" s="19">
        <v>1.0</v>
      </c>
      <c r="AAR19" s="19">
        <v>1.0</v>
      </c>
      <c r="AAS19" s="20">
        <v>1.0</v>
      </c>
      <c r="AAU19" s="21">
        <v>1.0</v>
      </c>
      <c r="AAV19" s="19">
        <v>1.0</v>
      </c>
      <c r="AAW19" s="19">
        <v>1.0</v>
      </c>
      <c r="AAX19" s="20">
        <v>1.0</v>
      </c>
      <c r="AAZ19" s="21">
        <v>1.0</v>
      </c>
      <c r="ABA19" s="19">
        <v>1.0</v>
      </c>
      <c r="ABB19" s="19">
        <v>1.0</v>
      </c>
      <c r="ABC19" s="20">
        <v>1.0</v>
      </c>
      <c r="ABE19" s="21">
        <v>1.0</v>
      </c>
      <c r="ABF19" s="19">
        <v>1.0</v>
      </c>
      <c r="ABG19" s="19">
        <v>1.0</v>
      </c>
      <c r="ABH19" s="20">
        <v>1.0</v>
      </c>
      <c r="ABJ19" s="21">
        <v>1.0</v>
      </c>
      <c r="ABK19" s="19">
        <v>1.0</v>
      </c>
      <c r="ABL19" s="19">
        <v>1.0</v>
      </c>
      <c r="ABM19" s="20">
        <v>1.0</v>
      </c>
      <c r="ABO19" s="21">
        <v>1.0</v>
      </c>
      <c r="ABP19" s="19">
        <v>1.0</v>
      </c>
      <c r="ABQ19" s="19">
        <v>1.0</v>
      </c>
      <c r="ABR19" s="20">
        <v>1.0</v>
      </c>
      <c r="ABT19" s="21">
        <v>1.0</v>
      </c>
      <c r="ABU19" s="19">
        <v>1.0</v>
      </c>
      <c r="ABV19" s="19">
        <v>1.0</v>
      </c>
      <c r="ABW19" s="20">
        <v>1.0</v>
      </c>
      <c r="ABY19" s="21">
        <v>1.0</v>
      </c>
      <c r="ABZ19" s="19">
        <v>1.0</v>
      </c>
      <c r="ACA19" s="19">
        <v>1.0</v>
      </c>
      <c r="ACB19" s="20">
        <v>1.0</v>
      </c>
      <c r="ACD19" s="21">
        <v>1.0</v>
      </c>
      <c r="ACE19" s="19">
        <v>1.0</v>
      </c>
      <c r="ACF19" s="19">
        <v>1.0</v>
      </c>
      <c r="ACG19" s="20">
        <v>1.0</v>
      </c>
      <c r="ACI19" s="21">
        <v>1.0</v>
      </c>
      <c r="ACJ19" s="19">
        <v>1.0</v>
      </c>
      <c r="ACK19" s="19">
        <v>1.0</v>
      </c>
      <c r="ACL19" s="20">
        <v>1.0</v>
      </c>
      <c r="ACN19" s="21">
        <v>1.0</v>
      </c>
      <c r="ACO19" s="19">
        <v>1.0</v>
      </c>
      <c r="ACP19" s="19">
        <v>1.0</v>
      </c>
      <c r="ACQ19" s="20">
        <v>1.0</v>
      </c>
      <c r="ACS19" s="21">
        <v>1.0</v>
      </c>
      <c r="ACT19" s="19">
        <v>1.0</v>
      </c>
      <c r="ACU19" s="19">
        <v>1.0</v>
      </c>
      <c r="ACV19" s="20">
        <v>1.0</v>
      </c>
      <c r="ACX19" s="21">
        <v>1.0</v>
      </c>
      <c r="ACY19" s="19">
        <v>0.0</v>
      </c>
      <c r="ACZ19" s="19">
        <v>1.0</v>
      </c>
      <c r="ADA19" s="20">
        <v>1.0</v>
      </c>
      <c r="ADC19" s="21">
        <v>1.0</v>
      </c>
      <c r="ADD19" s="19">
        <v>1.0</v>
      </c>
      <c r="ADE19" s="19">
        <v>1.0</v>
      </c>
      <c r="ADF19" s="20">
        <v>1.0</v>
      </c>
      <c r="ADH19" s="21">
        <v>1.0</v>
      </c>
      <c r="ADI19" s="19">
        <v>1.0</v>
      </c>
      <c r="ADJ19" s="19">
        <v>1.0</v>
      </c>
      <c r="ADK19" s="20">
        <v>1.0</v>
      </c>
      <c r="ADM19" s="21">
        <v>1.0</v>
      </c>
      <c r="ADN19" s="19">
        <v>1.0</v>
      </c>
      <c r="ADO19" s="19">
        <v>1.0</v>
      </c>
      <c r="ADP19" s="20">
        <v>1.0</v>
      </c>
      <c r="ADR19" s="21">
        <v>1.0</v>
      </c>
      <c r="ADS19" s="19">
        <v>1.0</v>
      </c>
      <c r="ADT19" s="19">
        <v>1.0</v>
      </c>
      <c r="ADU19" s="20">
        <v>1.0</v>
      </c>
      <c r="ADW19" s="21">
        <v>1.0</v>
      </c>
      <c r="ADX19" s="19">
        <v>1.0</v>
      </c>
      <c r="ADY19" s="19">
        <v>1.0</v>
      </c>
      <c r="ADZ19" s="20">
        <v>1.0</v>
      </c>
      <c r="AEB19" s="21">
        <v>1.0</v>
      </c>
      <c r="AEC19" s="19">
        <v>1.0</v>
      </c>
      <c r="AED19" s="19">
        <v>1.0</v>
      </c>
      <c r="AEE19" s="20">
        <v>1.0</v>
      </c>
      <c r="AEG19" s="21">
        <v>1.0</v>
      </c>
      <c r="AEH19" s="19">
        <v>1.0</v>
      </c>
      <c r="AEI19" s="19">
        <v>1.0</v>
      </c>
      <c r="AEJ19" s="20">
        <v>1.0</v>
      </c>
      <c r="AEL19" s="21">
        <v>1.0</v>
      </c>
      <c r="AEM19" s="19">
        <v>1.0</v>
      </c>
      <c r="AEN19" s="19">
        <v>1.0</v>
      </c>
      <c r="AEO19" s="20">
        <v>1.0</v>
      </c>
      <c r="AEQ19" s="21">
        <v>1.0</v>
      </c>
      <c r="AER19" s="19">
        <v>1.0</v>
      </c>
      <c r="AES19" s="19">
        <v>1.0</v>
      </c>
      <c r="AET19" s="20">
        <v>1.0</v>
      </c>
      <c r="AEV19" s="21">
        <v>1.0</v>
      </c>
      <c r="AEW19" s="19">
        <v>1.0</v>
      </c>
      <c r="AEX19" s="19">
        <v>1.0</v>
      </c>
      <c r="AEY19" s="20">
        <v>1.0</v>
      </c>
      <c r="AFA19" s="21">
        <v>1.0</v>
      </c>
      <c r="AFB19" s="19">
        <v>1.0</v>
      </c>
      <c r="AFC19" s="19">
        <v>1.0</v>
      </c>
      <c r="AFD19" s="20">
        <v>1.0</v>
      </c>
      <c r="AFF19" s="21">
        <v>1.0</v>
      </c>
      <c r="AFG19" s="19">
        <v>1.0</v>
      </c>
      <c r="AFH19" s="19">
        <v>1.0</v>
      </c>
      <c r="AFI19" s="20">
        <v>1.0</v>
      </c>
      <c r="AFK19" s="21">
        <v>1.0</v>
      </c>
      <c r="AFL19" s="19">
        <v>1.0</v>
      </c>
      <c r="AFM19" s="19">
        <v>1.0</v>
      </c>
      <c r="AFN19" s="20">
        <v>1.0</v>
      </c>
      <c r="AFP19" s="21">
        <v>1.0</v>
      </c>
      <c r="AFQ19" s="19">
        <v>1.0</v>
      </c>
      <c r="AFR19" s="19">
        <v>1.0</v>
      </c>
      <c r="AFS19" s="20">
        <v>1.0</v>
      </c>
      <c r="AFU19" s="21">
        <v>1.0</v>
      </c>
      <c r="AFV19" s="19">
        <v>1.0</v>
      </c>
      <c r="AFW19" s="19">
        <v>1.0</v>
      </c>
      <c r="AFX19" s="20">
        <v>1.0</v>
      </c>
      <c r="AFZ19" s="21">
        <v>1.0</v>
      </c>
      <c r="AGA19" s="19">
        <v>1.0</v>
      </c>
      <c r="AGB19" s="19">
        <v>1.0</v>
      </c>
      <c r="AGC19" s="20">
        <v>1.0</v>
      </c>
      <c r="AGE19" s="21">
        <v>1.0</v>
      </c>
      <c r="AGF19" s="19">
        <v>1.0</v>
      </c>
      <c r="AGG19" s="19">
        <v>1.0</v>
      </c>
      <c r="AGH19" s="20">
        <v>1.0</v>
      </c>
      <c r="AGJ19" s="21">
        <v>1.0</v>
      </c>
      <c r="AGK19" s="19">
        <v>1.0</v>
      </c>
      <c r="AGL19" s="19">
        <v>1.0</v>
      </c>
      <c r="AGM19" s="20">
        <v>1.0</v>
      </c>
      <c r="AGO19" s="21">
        <v>1.0</v>
      </c>
      <c r="AGP19" s="19">
        <v>1.0</v>
      </c>
      <c r="AGQ19" s="19">
        <v>1.0</v>
      </c>
      <c r="AGR19" s="20">
        <v>1.0</v>
      </c>
      <c r="AGT19" s="21">
        <v>1.0</v>
      </c>
      <c r="AGU19" s="19">
        <v>1.0</v>
      </c>
      <c r="AGV19" s="19">
        <v>1.0</v>
      </c>
      <c r="AGW19" s="20">
        <v>1.0</v>
      </c>
      <c r="AGY19" s="21">
        <v>1.0</v>
      </c>
      <c r="AGZ19" s="19">
        <v>1.0</v>
      </c>
      <c r="AHA19" s="19">
        <v>1.0</v>
      </c>
      <c r="AHB19" s="20">
        <v>1.0</v>
      </c>
      <c r="AHD19" s="21">
        <v>1.0</v>
      </c>
      <c r="AHE19" s="19">
        <v>1.0</v>
      </c>
      <c r="AHF19" s="19">
        <v>1.0</v>
      </c>
      <c r="AHG19" s="20">
        <v>1.0</v>
      </c>
      <c r="AHI19" s="21">
        <v>1.0</v>
      </c>
      <c r="AHJ19" s="19">
        <v>1.0</v>
      </c>
      <c r="AHK19" s="19">
        <v>1.0</v>
      </c>
      <c r="AHL19" s="20">
        <v>1.0</v>
      </c>
      <c r="AHN19" s="21">
        <v>1.0</v>
      </c>
      <c r="AHO19" s="19">
        <v>1.0</v>
      </c>
      <c r="AHP19" s="19">
        <v>1.0</v>
      </c>
      <c r="AHQ19" s="20">
        <v>1.0</v>
      </c>
      <c r="AHS19" s="21">
        <v>1.0</v>
      </c>
      <c r="AHT19" s="19">
        <v>1.0</v>
      </c>
      <c r="AHU19" s="19">
        <v>1.0</v>
      </c>
      <c r="AHV19" s="20">
        <v>1.0</v>
      </c>
      <c r="AHX19" s="21">
        <v>1.0</v>
      </c>
      <c r="AHY19" s="19">
        <v>1.0</v>
      </c>
      <c r="AHZ19" s="19">
        <v>1.0</v>
      </c>
      <c r="AIA19" s="20">
        <v>1.0</v>
      </c>
      <c r="AIC19" s="21">
        <v>1.0</v>
      </c>
      <c r="AID19" s="19">
        <v>1.0</v>
      </c>
      <c r="AIE19" s="19">
        <v>1.0</v>
      </c>
      <c r="AIF19" s="20">
        <v>1.0</v>
      </c>
      <c r="AIH19" s="21">
        <v>1.0</v>
      </c>
      <c r="AII19" s="19">
        <v>1.0</v>
      </c>
      <c r="AIJ19" s="19">
        <v>1.0</v>
      </c>
      <c r="AIK19" s="20">
        <v>1.0</v>
      </c>
      <c r="AIM19" s="21">
        <v>1.0</v>
      </c>
      <c r="AIN19" s="19">
        <v>0.0</v>
      </c>
      <c r="AIO19" s="19">
        <v>1.0</v>
      </c>
      <c r="AIP19" s="20">
        <v>1.0</v>
      </c>
      <c r="AIR19" s="21">
        <v>1.0</v>
      </c>
      <c r="AIS19" s="19">
        <v>1.0</v>
      </c>
      <c r="AIT19" s="19">
        <v>1.0</v>
      </c>
      <c r="AIU19" s="20">
        <v>1.0</v>
      </c>
      <c r="AIW19" s="21">
        <v>1.0</v>
      </c>
      <c r="AIX19" s="19">
        <v>1.0</v>
      </c>
      <c r="AIY19" s="19">
        <v>1.0</v>
      </c>
      <c r="AIZ19" s="20">
        <v>1.0</v>
      </c>
      <c r="AJB19" s="21">
        <v>1.0</v>
      </c>
      <c r="AJC19" s="19">
        <v>1.0</v>
      </c>
      <c r="AJD19" s="19">
        <v>1.0</v>
      </c>
      <c r="AJE19" s="20">
        <v>1.0</v>
      </c>
      <c r="AJG19" s="21">
        <v>1.0</v>
      </c>
      <c r="AJH19" s="19">
        <v>1.0</v>
      </c>
      <c r="AJI19" s="19">
        <v>1.0</v>
      </c>
      <c r="AJJ19" s="20">
        <v>1.0</v>
      </c>
      <c r="AJL19" s="21">
        <v>1.0</v>
      </c>
      <c r="AJM19" s="19">
        <v>1.0</v>
      </c>
      <c r="AJN19" s="19">
        <v>1.0</v>
      </c>
      <c r="AJO19" s="20">
        <v>1.0</v>
      </c>
      <c r="AJQ19" s="21">
        <v>1.0</v>
      </c>
      <c r="AJR19" s="19">
        <v>1.0</v>
      </c>
      <c r="AJS19" s="19">
        <v>1.0</v>
      </c>
      <c r="AJT19" s="20">
        <v>1.0</v>
      </c>
      <c r="AJV19" s="21">
        <v>1.0</v>
      </c>
      <c r="AJW19" s="19">
        <v>1.0</v>
      </c>
      <c r="AJX19" s="19">
        <v>1.0</v>
      </c>
      <c r="AJY19" s="20">
        <v>1.0</v>
      </c>
    </row>
    <row r="20" ht="15.75" customHeight="1">
      <c r="A20" s="29"/>
      <c r="B20" s="22" t="s">
        <v>196</v>
      </c>
      <c r="C20" s="23" t="s">
        <v>196</v>
      </c>
      <c r="D20" s="23" t="s">
        <v>196</v>
      </c>
      <c r="E20" s="23" t="s">
        <v>196</v>
      </c>
      <c r="F20" s="24" t="s">
        <v>196</v>
      </c>
      <c r="H20" s="22" t="s">
        <v>196</v>
      </c>
      <c r="I20" s="23" t="s">
        <v>196</v>
      </c>
      <c r="J20" s="23" t="s">
        <v>196</v>
      </c>
      <c r="K20" s="24" t="s">
        <v>196</v>
      </c>
      <c r="M20" s="22" t="s">
        <v>196</v>
      </c>
      <c r="N20" s="23" t="s">
        <v>196</v>
      </c>
      <c r="O20" s="23" t="s">
        <v>196</v>
      </c>
      <c r="P20" s="24" t="s">
        <v>196</v>
      </c>
      <c r="R20" s="22" t="s">
        <v>196</v>
      </c>
      <c r="S20" s="23" t="s">
        <v>196</v>
      </c>
      <c r="T20" s="23" t="s">
        <v>196</v>
      </c>
      <c r="U20" s="24" t="s">
        <v>196</v>
      </c>
      <c r="W20" s="22" t="s">
        <v>196</v>
      </c>
      <c r="X20" s="23" t="s">
        <v>196</v>
      </c>
      <c r="Y20" s="23" t="s">
        <v>196</v>
      </c>
      <c r="Z20" s="24" t="s">
        <v>196</v>
      </c>
      <c r="AB20" s="22" t="s">
        <v>196</v>
      </c>
      <c r="AC20" s="23" t="s">
        <v>196</v>
      </c>
      <c r="AD20" s="23" t="s">
        <v>196</v>
      </c>
      <c r="AE20" s="24" t="s">
        <v>196</v>
      </c>
      <c r="AG20" s="22" t="s">
        <v>196</v>
      </c>
      <c r="AH20" s="23" t="s">
        <v>196</v>
      </c>
      <c r="AI20" s="23" t="s">
        <v>196</v>
      </c>
      <c r="AJ20" s="24" t="s">
        <v>196</v>
      </c>
      <c r="AL20" s="22" t="s">
        <v>196</v>
      </c>
      <c r="AM20" s="23" t="s">
        <v>196</v>
      </c>
      <c r="AN20" s="23" t="s">
        <v>196</v>
      </c>
      <c r="AO20" s="24" t="s">
        <v>196</v>
      </c>
      <c r="AQ20" s="22" t="s">
        <v>196</v>
      </c>
      <c r="AR20" s="23" t="s">
        <v>196</v>
      </c>
      <c r="AS20" s="23" t="s">
        <v>196</v>
      </c>
      <c r="AT20" s="24" t="s">
        <v>196</v>
      </c>
      <c r="AV20" s="22" t="s">
        <v>196</v>
      </c>
      <c r="AW20" s="23" t="s">
        <v>196</v>
      </c>
      <c r="AX20" s="23" t="s">
        <v>196</v>
      </c>
      <c r="AY20" s="24" t="s">
        <v>196</v>
      </c>
      <c r="BA20" s="22" t="s">
        <v>196</v>
      </c>
      <c r="BB20" s="23" t="s">
        <v>196</v>
      </c>
      <c r="BC20" s="23" t="s">
        <v>196</v>
      </c>
      <c r="BD20" s="24" t="s">
        <v>196</v>
      </c>
      <c r="BF20" s="22" t="s">
        <v>196</v>
      </c>
      <c r="BG20" s="23" t="s">
        <v>196</v>
      </c>
      <c r="BH20" s="23" t="s">
        <v>196</v>
      </c>
      <c r="BI20" s="24" t="s">
        <v>196</v>
      </c>
      <c r="BK20" s="22" t="s">
        <v>196</v>
      </c>
      <c r="BL20" s="23" t="s">
        <v>196</v>
      </c>
      <c r="BM20" s="23" t="s">
        <v>196</v>
      </c>
      <c r="BN20" s="24" t="s">
        <v>196</v>
      </c>
      <c r="BP20" s="22" t="s">
        <v>196</v>
      </c>
      <c r="BQ20" s="23" t="s">
        <v>196</v>
      </c>
      <c r="BR20" s="23" t="s">
        <v>196</v>
      </c>
      <c r="BS20" s="24" t="s">
        <v>196</v>
      </c>
      <c r="BU20" s="22" t="s">
        <v>196</v>
      </c>
      <c r="BV20" s="23" t="s">
        <v>196</v>
      </c>
      <c r="BW20" s="23" t="s">
        <v>196</v>
      </c>
      <c r="BX20" s="24" t="s">
        <v>196</v>
      </c>
      <c r="BZ20" s="22" t="s">
        <v>196</v>
      </c>
      <c r="CA20" s="23" t="s">
        <v>196</v>
      </c>
      <c r="CB20" s="23" t="s">
        <v>196</v>
      </c>
      <c r="CC20" s="24" t="s">
        <v>196</v>
      </c>
      <c r="CE20" s="22" t="s">
        <v>196</v>
      </c>
      <c r="CF20" s="23" t="s">
        <v>196</v>
      </c>
      <c r="CG20" s="23" t="s">
        <v>196</v>
      </c>
      <c r="CH20" s="24" t="s">
        <v>196</v>
      </c>
      <c r="CJ20" s="22" t="s">
        <v>196</v>
      </c>
      <c r="CK20" s="23" t="s">
        <v>196</v>
      </c>
      <c r="CL20" s="23" t="s">
        <v>196</v>
      </c>
      <c r="CM20" s="24" t="s">
        <v>196</v>
      </c>
      <c r="CO20" s="22" t="s">
        <v>196</v>
      </c>
      <c r="CP20" s="23" t="s">
        <v>196</v>
      </c>
      <c r="CQ20" s="23" t="s">
        <v>196</v>
      </c>
      <c r="CR20" s="24" t="s">
        <v>196</v>
      </c>
      <c r="CT20" s="22" t="s">
        <v>196</v>
      </c>
      <c r="CU20" s="23" t="s">
        <v>196</v>
      </c>
      <c r="CV20" s="23" t="s">
        <v>196</v>
      </c>
      <c r="CW20" s="24" t="s">
        <v>196</v>
      </c>
      <c r="CY20" s="22" t="s">
        <v>196</v>
      </c>
      <c r="CZ20" s="23" t="s">
        <v>196</v>
      </c>
      <c r="DA20" s="23" t="s">
        <v>196</v>
      </c>
      <c r="DB20" s="24" t="s">
        <v>196</v>
      </c>
      <c r="DD20" s="22" t="s">
        <v>196</v>
      </c>
      <c r="DE20" s="23" t="s">
        <v>196</v>
      </c>
      <c r="DF20" s="23" t="s">
        <v>196</v>
      </c>
      <c r="DG20" s="24" t="s">
        <v>196</v>
      </c>
      <c r="DI20" s="22" t="s">
        <v>196</v>
      </c>
      <c r="DJ20" s="23" t="s">
        <v>196</v>
      </c>
      <c r="DK20" s="23" t="s">
        <v>196</v>
      </c>
      <c r="DL20" s="24" t="s">
        <v>196</v>
      </c>
      <c r="DN20" s="22" t="s">
        <v>196</v>
      </c>
      <c r="DO20" s="23" t="s">
        <v>196</v>
      </c>
      <c r="DP20" s="23" t="s">
        <v>196</v>
      </c>
      <c r="DQ20" s="24" t="s">
        <v>196</v>
      </c>
      <c r="DS20" s="22" t="s">
        <v>196</v>
      </c>
      <c r="DT20" s="23" t="s">
        <v>196</v>
      </c>
      <c r="DU20" s="23" t="s">
        <v>196</v>
      </c>
      <c r="DV20" s="24" t="s">
        <v>196</v>
      </c>
      <c r="DX20" s="22" t="s">
        <v>196</v>
      </c>
      <c r="DY20" s="23" t="s">
        <v>196</v>
      </c>
      <c r="DZ20" s="23" t="s">
        <v>196</v>
      </c>
      <c r="EA20" s="24" t="s">
        <v>196</v>
      </c>
      <c r="EC20" s="22" t="s">
        <v>196</v>
      </c>
      <c r="ED20" s="23" t="s">
        <v>196</v>
      </c>
      <c r="EE20" s="23" t="s">
        <v>196</v>
      </c>
      <c r="EF20" s="24" t="s">
        <v>196</v>
      </c>
      <c r="EH20" s="22" t="s">
        <v>196</v>
      </c>
      <c r="EI20" s="23" t="s">
        <v>196</v>
      </c>
      <c r="EJ20" s="23" t="s">
        <v>196</v>
      </c>
      <c r="EK20" s="24" t="s">
        <v>196</v>
      </c>
      <c r="EM20" s="22" t="s">
        <v>196</v>
      </c>
      <c r="EN20" s="23" t="s">
        <v>196</v>
      </c>
      <c r="EO20" s="23" t="s">
        <v>196</v>
      </c>
      <c r="EP20" s="24" t="s">
        <v>196</v>
      </c>
      <c r="ER20" s="22" t="s">
        <v>196</v>
      </c>
      <c r="ES20" s="23" t="s">
        <v>196</v>
      </c>
      <c r="ET20" s="23" t="s">
        <v>196</v>
      </c>
      <c r="EU20" s="24" t="s">
        <v>196</v>
      </c>
      <c r="EW20" s="22" t="s">
        <v>196</v>
      </c>
      <c r="EX20" s="23" t="s">
        <v>196</v>
      </c>
      <c r="EY20" s="23" t="s">
        <v>196</v>
      </c>
      <c r="EZ20" s="24" t="s">
        <v>196</v>
      </c>
      <c r="FB20" s="22" t="s">
        <v>196</v>
      </c>
      <c r="FC20" s="23" t="s">
        <v>196</v>
      </c>
      <c r="FD20" s="23" t="s">
        <v>196</v>
      </c>
      <c r="FE20" s="24" t="s">
        <v>196</v>
      </c>
      <c r="FG20" s="22" t="s">
        <v>196</v>
      </c>
      <c r="FH20" s="23" t="s">
        <v>196</v>
      </c>
      <c r="FI20" s="23" t="s">
        <v>196</v>
      </c>
      <c r="FJ20" s="24" t="s">
        <v>196</v>
      </c>
      <c r="FL20" s="22" t="s">
        <v>196</v>
      </c>
      <c r="FM20" s="23" t="s">
        <v>196</v>
      </c>
      <c r="FN20" s="23" t="s">
        <v>196</v>
      </c>
      <c r="FO20" s="24" t="s">
        <v>196</v>
      </c>
      <c r="FQ20" s="22" t="s">
        <v>196</v>
      </c>
      <c r="FR20" s="23" t="s">
        <v>196</v>
      </c>
      <c r="FS20" s="23" t="s">
        <v>196</v>
      </c>
      <c r="FT20" s="24" t="s">
        <v>196</v>
      </c>
      <c r="FV20" s="22" t="s">
        <v>196</v>
      </c>
      <c r="FW20" s="23" t="s">
        <v>196</v>
      </c>
      <c r="FX20" s="23" t="s">
        <v>196</v>
      </c>
      <c r="FY20" s="24" t="s">
        <v>196</v>
      </c>
      <c r="GA20" s="22" t="s">
        <v>196</v>
      </c>
      <c r="GB20" s="23" t="s">
        <v>196</v>
      </c>
      <c r="GC20" s="23" t="s">
        <v>196</v>
      </c>
      <c r="GD20" s="24" t="s">
        <v>196</v>
      </c>
      <c r="GF20" s="22" t="s">
        <v>196</v>
      </c>
      <c r="GG20" s="23" t="s">
        <v>196</v>
      </c>
      <c r="GH20" s="23" t="s">
        <v>196</v>
      </c>
      <c r="GI20" s="24" t="s">
        <v>196</v>
      </c>
      <c r="GK20" s="22" t="s">
        <v>196</v>
      </c>
      <c r="GL20" s="23" t="s">
        <v>196</v>
      </c>
      <c r="GM20" s="23" t="s">
        <v>196</v>
      </c>
      <c r="GN20" s="24" t="s">
        <v>196</v>
      </c>
      <c r="GP20" s="22" t="s">
        <v>196</v>
      </c>
      <c r="GQ20" s="23" t="s">
        <v>196</v>
      </c>
      <c r="GR20" s="23" t="s">
        <v>196</v>
      </c>
      <c r="GS20" s="24" t="s">
        <v>196</v>
      </c>
      <c r="GU20" s="22" t="s">
        <v>196</v>
      </c>
      <c r="GV20" s="23" t="s">
        <v>196</v>
      </c>
      <c r="GW20" s="23" t="s">
        <v>196</v>
      </c>
      <c r="GX20" s="24" t="s">
        <v>196</v>
      </c>
      <c r="GZ20" s="22" t="s">
        <v>196</v>
      </c>
      <c r="HA20" s="23" t="s">
        <v>196</v>
      </c>
      <c r="HB20" s="23" t="s">
        <v>196</v>
      </c>
      <c r="HC20" s="24" t="s">
        <v>196</v>
      </c>
      <c r="HE20" s="22" t="s">
        <v>196</v>
      </c>
      <c r="HF20" s="23" t="s">
        <v>196</v>
      </c>
      <c r="HG20" s="23" t="s">
        <v>196</v>
      </c>
      <c r="HH20" s="24" t="s">
        <v>196</v>
      </c>
      <c r="HJ20" s="22" t="s">
        <v>196</v>
      </c>
      <c r="HK20" s="23" t="s">
        <v>196</v>
      </c>
      <c r="HL20" s="23" t="s">
        <v>196</v>
      </c>
      <c r="HM20" s="24" t="s">
        <v>196</v>
      </c>
      <c r="HO20" s="22" t="s">
        <v>196</v>
      </c>
      <c r="HP20" s="23" t="s">
        <v>196</v>
      </c>
      <c r="HQ20" s="23" t="s">
        <v>196</v>
      </c>
      <c r="HR20" s="24" t="s">
        <v>196</v>
      </c>
      <c r="HT20" s="22" t="s">
        <v>196</v>
      </c>
      <c r="HU20" s="23" t="s">
        <v>196</v>
      </c>
      <c r="HV20" s="23" t="s">
        <v>196</v>
      </c>
      <c r="HW20" s="24" t="s">
        <v>196</v>
      </c>
      <c r="HY20" s="22" t="s">
        <v>196</v>
      </c>
      <c r="HZ20" s="23" t="s">
        <v>196</v>
      </c>
      <c r="IA20" s="23" t="s">
        <v>196</v>
      </c>
      <c r="IB20" s="24" t="s">
        <v>196</v>
      </c>
      <c r="ID20" s="22" t="s">
        <v>196</v>
      </c>
      <c r="IE20" s="23" t="s">
        <v>196</v>
      </c>
      <c r="IF20" s="23" t="s">
        <v>196</v>
      </c>
      <c r="IG20" s="24" t="s">
        <v>196</v>
      </c>
      <c r="II20" s="22" t="s">
        <v>196</v>
      </c>
      <c r="IJ20" s="23" t="s">
        <v>196</v>
      </c>
      <c r="IK20" s="23" t="s">
        <v>196</v>
      </c>
      <c r="IL20" s="24" t="s">
        <v>196</v>
      </c>
      <c r="IN20" s="22" t="s">
        <v>196</v>
      </c>
      <c r="IO20" s="23" t="s">
        <v>196</v>
      </c>
      <c r="IP20" s="23" t="s">
        <v>196</v>
      </c>
      <c r="IQ20" s="24" t="s">
        <v>196</v>
      </c>
      <c r="IS20" s="22" t="s">
        <v>196</v>
      </c>
      <c r="IT20" s="23" t="s">
        <v>196</v>
      </c>
      <c r="IU20" s="23" t="s">
        <v>196</v>
      </c>
      <c r="IV20" s="24" t="s">
        <v>196</v>
      </c>
      <c r="IX20" s="22" t="s">
        <v>196</v>
      </c>
      <c r="IY20" s="23" t="s">
        <v>196</v>
      </c>
      <c r="IZ20" s="23" t="s">
        <v>196</v>
      </c>
      <c r="JA20" s="24" t="s">
        <v>196</v>
      </c>
      <c r="JC20" s="22" t="s">
        <v>196</v>
      </c>
      <c r="JD20" s="23" t="s">
        <v>196</v>
      </c>
      <c r="JE20" s="23" t="s">
        <v>196</v>
      </c>
      <c r="JF20" s="24" t="s">
        <v>196</v>
      </c>
      <c r="JH20" s="22" t="s">
        <v>196</v>
      </c>
      <c r="JI20" s="23" t="s">
        <v>196</v>
      </c>
      <c r="JJ20" s="23" t="s">
        <v>196</v>
      </c>
      <c r="JK20" s="24" t="s">
        <v>196</v>
      </c>
      <c r="JM20" s="22" t="s">
        <v>196</v>
      </c>
      <c r="JN20" s="23" t="s">
        <v>196</v>
      </c>
      <c r="JO20" s="23" t="s">
        <v>196</v>
      </c>
      <c r="JP20" s="24" t="s">
        <v>196</v>
      </c>
      <c r="JR20" s="22" t="s">
        <v>196</v>
      </c>
      <c r="JS20" s="23" t="s">
        <v>196</v>
      </c>
      <c r="JT20" s="23" t="s">
        <v>196</v>
      </c>
      <c r="JU20" s="24" t="s">
        <v>196</v>
      </c>
      <c r="JW20" s="22" t="s">
        <v>196</v>
      </c>
      <c r="JX20" s="23" t="s">
        <v>196</v>
      </c>
      <c r="JY20" s="23" t="s">
        <v>196</v>
      </c>
      <c r="JZ20" s="24" t="s">
        <v>196</v>
      </c>
      <c r="KB20" s="22" t="s">
        <v>196</v>
      </c>
      <c r="KC20" s="23" t="s">
        <v>196</v>
      </c>
      <c r="KD20" s="23" t="s">
        <v>196</v>
      </c>
      <c r="KE20" s="24" t="s">
        <v>196</v>
      </c>
      <c r="KG20" s="22" t="s">
        <v>196</v>
      </c>
      <c r="KH20" s="23" t="s">
        <v>196</v>
      </c>
      <c r="KI20" s="23" t="s">
        <v>196</v>
      </c>
      <c r="KJ20" s="24" t="s">
        <v>196</v>
      </c>
      <c r="KL20" s="22" t="s">
        <v>196</v>
      </c>
      <c r="KM20" s="23" t="s">
        <v>196</v>
      </c>
      <c r="KN20" s="23" t="s">
        <v>196</v>
      </c>
      <c r="KO20" s="24" t="s">
        <v>196</v>
      </c>
      <c r="KQ20" s="22" t="s">
        <v>196</v>
      </c>
      <c r="KR20" s="23" t="s">
        <v>196</v>
      </c>
      <c r="KS20" s="23" t="s">
        <v>196</v>
      </c>
      <c r="KT20" s="24" t="s">
        <v>196</v>
      </c>
      <c r="KV20" s="22" t="s">
        <v>196</v>
      </c>
      <c r="KW20" s="23" t="s">
        <v>196</v>
      </c>
      <c r="KX20" s="23" t="s">
        <v>196</v>
      </c>
      <c r="KY20" s="24" t="s">
        <v>196</v>
      </c>
      <c r="LA20" s="22" t="s">
        <v>196</v>
      </c>
      <c r="LB20" s="23" t="s">
        <v>196</v>
      </c>
      <c r="LC20" s="23" t="s">
        <v>196</v>
      </c>
      <c r="LD20" s="24" t="s">
        <v>196</v>
      </c>
      <c r="LF20" s="22" t="s">
        <v>196</v>
      </c>
      <c r="LG20" s="23" t="s">
        <v>196</v>
      </c>
      <c r="LH20" s="23" t="s">
        <v>196</v>
      </c>
      <c r="LI20" s="24" t="s">
        <v>196</v>
      </c>
      <c r="LK20" s="22" t="s">
        <v>196</v>
      </c>
      <c r="LL20" s="23" t="s">
        <v>196</v>
      </c>
      <c r="LM20" s="23" t="s">
        <v>196</v>
      </c>
      <c r="LN20" s="24" t="s">
        <v>196</v>
      </c>
      <c r="LP20" s="22" t="s">
        <v>196</v>
      </c>
      <c r="LQ20" s="23" t="s">
        <v>196</v>
      </c>
      <c r="LR20" s="23" t="s">
        <v>196</v>
      </c>
      <c r="LS20" s="24" t="s">
        <v>196</v>
      </c>
      <c r="LU20" s="22" t="s">
        <v>196</v>
      </c>
      <c r="LV20" s="23" t="s">
        <v>196</v>
      </c>
      <c r="LW20" s="23" t="s">
        <v>196</v>
      </c>
      <c r="LX20" s="24" t="s">
        <v>196</v>
      </c>
      <c r="LZ20" s="22" t="s">
        <v>196</v>
      </c>
      <c r="MA20" s="23" t="s">
        <v>196</v>
      </c>
      <c r="MB20" s="23" t="s">
        <v>196</v>
      </c>
      <c r="MC20" s="24" t="s">
        <v>196</v>
      </c>
      <c r="ME20" s="22" t="s">
        <v>196</v>
      </c>
      <c r="MF20" s="23" t="s">
        <v>196</v>
      </c>
      <c r="MG20" s="23" t="s">
        <v>196</v>
      </c>
      <c r="MH20" s="24" t="s">
        <v>196</v>
      </c>
      <c r="MJ20" s="22" t="s">
        <v>196</v>
      </c>
      <c r="MK20" s="23" t="s">
        <v>196</v>
      </c>
      <c r="ML20" s="23" t="s">
        <v>196</v>
      </c>
      <c r="MM20" s="24" t="s">
        <v>196</v>
      </c>
      <c r="MO20" s="22" t="s">
        <v>196</v>
      </c>
      <c r="MP20" s="23" t="s">
        <v>196</v>
      </c>
      <c r="MQ20" s="23" t="s">
        <v>196</v>
      </c>
      <c r="MR20" s="24" t="s">
        <v>196</v>
      </c>
      <c r="MT20" s="22" t="s">
        <v>196</v>
      </c>
      <c r="MU20" s="23" t="s">
        <v>196</v>
      </c>
      <c r="MV20" s="23" t="s">
        <v>196</v>
      </c>
      <c r="MW20" s="24" t="s">
        <v>196</v>
      </c>
      <c r="MY20" s="22" t="s">
        <v>196</v>
      </c>
      <c r="MZ20" s="23" t="s">
        <v>196</v>
      </c>
      <c r="NA20" s="23" t="s">
        <v>196</v>
      </c>
      <c r="NB20" s="24" t="s">
        <v>196</v>
      </c>
      <c r="ND20" s="22" t="s">
        <v>196</v>
      </c>
      <c r="NE20" s="23" t="s">
        <v>196</v>
      </c>
      <c r="NF20" s="23" t="s">
        <v>196</v>
      </c>
      <c r="NG20" s="24" t="s">
        <v>196</v>
      </c>
      <c r="NI20" s="22" t="s">
        <v>196</v>
      </c>
      <c r="NJ20" s="23" t="s">
        <v>196</v>
      </c>
      <c r="NK20" s="23" t="s">
        <v>196</v>
      </c>
      <c r="NL20" s="24" t="s">
        <v>196</v>
      </c>
      <c r="NN20" s="22" t="s">
        <v>196</v>
      </c>
      <c r="NO20" s="23" t="s">
        <v>196</v>
      </c>
      <c r="NP20" s="23" t="s">
        <v>196</v>
      </c>
      <c r="NQ20" s="24" t="s">
        <v>196</v>
      </c>
      <c r="NS20" s="22" t="s">
        <v>196</v>
      </c>
      <c r="NT20" s="23" t="s">
        <v>196</v>
      </c>
      <c r="NU20" s="23" t="s">
        <v>196</v>
      </c>
      <c r="NV20" s="24" t="s">
        <v>196</v>
      </c>
      <c r="NX20" s="22" t="s">
        <v>196</v>
      </c>
      <c r="NY20" s="23" t="s">
        <v>196</v>
      </c>
      <c r="NZ20" s="23" t="s">
        <v>196</v>
      </c>
      <c r="OA20" s="24" t="s">
        <v>196</v>
      </c>
      <c r="OC20" s="22" t="s">
        <v>196</v>
      </c>
      <c r="OD20" s="23" t="s">
        <v>196</v>
      </c>
      <c r="OE20" s="23" t="s">
        <v>196</v>
      </c>
      <c r="OF20" s="24" t="s">
        <v>196</v>
      </c>
      <c r="OH20" s="22" t="s">
        <v>196</v>
      </c>
      <c r="OI20" s="23" t="s">
        <v>196</v>
      </c>
      <c r="OJ20" s="23" t="s">
        <v>196</v>
      </c>
      <c r="OK20" s="24" t="s">
        <v>196</v>
      </c>
      <c r="OM20" s="22" t="s">
        <v>196</v>
      </c>
      <c r="ON20" s="23" t="s">
        <v>196</v>
      </c>
      <c r="OO20" s="23" t="s">
        <v>196</v>
      </c>
      <c r="OP20" s="24" t="s">
        <v>196</v>
      </c>
      <c r="OR20" s="22" t="s">
        <v>196</v>
      </c>
      <c r="OS20" s="23" t="s">
        <v>196</v>
      </c>
      <c r="OT20" s="23" t="s">
        <v>196</v>
      </c>
      <c r="OU20" s="24" t="s">
        <v>196</v>
      </c>
      <c r="OW20" s="22" t="s">
        <v>196</v>
      </c>
      <c r="OX20" s="23" t="s">
        <v>196</v>
      </c>
      <c r="OY20" s="23" t="s">
        <v>196</v>
      </c>
      <c r="OZ20" s="24" t="s">
        <v>196</v>
      </c>
      <c r="PB20" s="22" t="s">
        <v>196</v>
      </c>
      <c r="PC20" s="23" t="s">
        <v>196</v>
      </c>
      <c r="PD20" s="23" t="s">
        <v>196</v>
      </c>
      <c r="PE20" s="24" t="s">
        <v>196</v>
      </c>
      <c r="PG20" s="22" t="s">
        <v>196</v>
      </c>
      <c r="PH20" s="23" t="s">
        <v>196</v>
      </c>
      <c r="PI20" s="23" t="s">
        <v>196</v>
      </c>
      <c r="PJ20" s="24" t="s">
        <v>196</v>
      </c>
      <c r="PL20" s="22" t="s">
        <v>196</v>
      </c>
      <c r="PM20" s="23" t="s">
        <v>196</v>
      </c>
      <c r="PN20" s="23" t="s">
        <v>196</v>
      </c>
      <c r="PO20" s="24" t="s">
        <v>196</v>
      </c>
      <c r="PQ20" s="22" t="s">
        <v>196</v>
      </c>
      <c r="PR20" s="23" t="s">
        <v>196</v>
      </c>
      <c r="PS20" s="23" t="s">
        <v>196</v>
      </c>
      <c r="PT20" s="24" t="s">
        <v>196</v>
      </c>
      <c r="PV20" s="22" t="s">
        <v>196</v>
      </c>
      <c r="PW20" s="23" t="s">
        <v>196</v>
      </c>
      <c r="PX20" s="23" t="s">
        <v>196</v>
      </c>
      <c r="PY20" s="24" t="s">
        <v>196</v>
      </c>
      <c r="QA20" s="22" t="s">
        <v>196</v>
      </c>
      <c r="QB20" s="23" t="s">
        <v>196</v>
      </c>
      <c r="QC20" s="23" t="s">
        <v>196</v>
      </c>
      <c r="QD20" s="24" t="s">
        <v>196</v>
      </c>
      <c r="QF20" s="22" t="s">
        <v>196</v>
      </c>
      <c r="QG20" s="23" t="s">
        <v>196</v>
      </c>
      <c r="QH20" s="23" t="s">
        <v>196</v>
      </c>
      <c r="QI20" s="24" t="s">
        <v>196</v>
      </c>
      <c r="QK20" s="22" t="s">
        <v>196</v>
      </c>
      <c r="QL20" s="23" t="s">
        <v>196</v>
      </c>
      <c r="QM20" s="23" t="s">
        <v>196</v>
      </c>
      <c r="QN20" s="24" t="s">
        <v>196</v>
      </c>
      <c r="QP20" s="22" t="s">
        <v>196</v>
      </c>
      <c r="QQ20" s="23" t="s">
        <v>196</v>
      </c>
      <c r="QR20" s="23" t="s">
        <v>196</v>
      </c>
      <c r="QS20" s="24" t="s">
        <v>196</v>
      </c>
      <c r="QU20" s="22" t="s">
        <v>196</v>
      </c>
      <c r="QV20" s="23" t="s">
        <v>196</v>
      </c>
      <c r="QW20" s="23" t="s">
        <v>196</v>
      </c>
      <c r="QX20" s="24" t="s">
        <v>196</v>
      </c>
      <c r="QZ20" s="22" t="s">
        <v>196</v>
      </c>
      <c r="RA20" s="23" t="s">
        <v>196</v>
      </c>
      <c r="RB20" s="23" t="s">
        <v>196</v>
      </c>
      <c r="RC20" s="24" t="s">
        <v>196</v>
      </c>
      <c r="RE20" s="22" t="s">
        <v>196</v>
      </c>
      <c r="RF20" s="23" t="s">
        <v>196</v>
      </c>
      <c r="RG20" s="23" t="s">
        <v>196</v>
      </c>
      <c r="RH20" s="24" t="s">
        <v>196</v>
      </c>
      <c r="RJ20" s="22" t="s">
        <v>196</v>
      </c>
      <c r="RK20" s="23" t="s">
        <v>196</v>
      </c>
      <c r="RL20" s="23" t="s">
        <v>196</v>
      </c>
      <c r="RM20" s="24" t="s">
        <v>196</v>
      </c>
      <c r="RO20" s="22" t="s">
        <v>196</v>
      </c>
      <c r="RP20" s="23" t="s">
        <v>196</v>
      </c>
      <c r="RQ20" s="23" t="s">
        <v>196</v>
      </c>
      <c r="RR20" s="24" t="s">
        <v>196</v>
      </c>
      <c r="RT20" s="22" t="s">
        <v>196</v>
      </c>
      <c r="RU20" s="23" t="s">
        <v>196</v>
      </c>
      <c r="RV20" s="23" t="s">
        <v>196</v>
      </c>
      <c r="RW20" s="24" t="s">
        <v>196</v>
      </c>
      <c r="RY20" s="22" t="s">
        <v>196</v>
      </c>
      <c r="RZ20" s="23" t="s">
        <v>196</v>
      </c>
      <c r="SA20" s="23" t="s">
        <v>196</v>
      </c>
      <c r="SB20" s="24" t="s">
        <v>196</v>
      </c>
      <c r="SD20" s="22" t="s">
        <v>196</v>
      </c>
      <c r="SE20" s="23" t="s">
        <v>196</v>
      </c>
      <c r="SF20" s="23" t="s">
        <v>196</v>
      </c>
      <c r="SG20" s="24" t="s">
        <v>196</v>
      </c>
      <c r="SI20" s="22" t="s">
        <v>196</v>
      </c>
      <c r="SJ20" s="23" t="s">
        <v>196</v>
      </c>
      <c r="SK20" s="23" t="s">
        <v>196</v>
      </c>
      <c r="SL20" s="24" t="s">
        <v>196</v>
      </c>
      <c r="SN20" s="22" t="s">
        <v>196</v>
      </c>
      <c r="SO20" s="23" t="s">
        <v>196</v>
      </c>
      <c r="SP20" s="23" t="s">
        <v>196</v>
      </c>
      <c r="SQ20" s="24" t="s">
        <v>196</v>
      </c>
      <c r="SS20" s="22" t="s">
        <v>196</v>
      </c>
      <c r="ST20" s="23" t="s">
        <v>196</v>
      </c>
      <c r="SU20" s="23" t="s">
        <v>196</v>
      </c>
      <c r="SV20" s="24" t="s">
        <v>196</v>
      </c>
      <c r="SX20" s="22" t="s">
        <v>196</v>
      </c>
      <c r="SY20" s="23" t="s">
        <v>196</v>
      </c>
      <c r="SZ20" s="23" t="s">
        <v>196</v>
      </c>
      <c r="TA20" s="24" t="s">
        <v>196</v>
      </c>
      <c r="TC20" s="22" t="s">
        <v>196</v>
      </c>
      <c r="TD20" s="23" t="s">
        <v>196</v>
      </c>
      <c r="TE20" s="23" t="s">
        <v>196</v>
      </c>
      <c r="TF20" s="24" t="s">
        <v>196</v>
      </c>
      <c r="TH20" s="22" t="s">
        <v>196</v>
      </c>
      <c r="TI20" s="23" t="s">
        <v>196</v>
      </c>
      <c r="TJ20" s="23" t="s">
        <v>196</v>
      </c>
      <c r="TK20" s="24" t="s">
        <v>196</v>
      </c>
      <c r="TM20" s="22" t="s">
        <v>196</v>
      </c>
      <c r="TN20" s="23" t="s">
        <v>196</v>
      </c>
      <c r="TO20" s="23" t="s">
        <v>196</v>
      </c>
      <c r="TP20" s="24" t="s">
        <v>196</v>
      </c>
      <c r="TR20" s="22" t="s">
        <v>196</v>
      </c>
      <c r="TS20" s="23" t="s">
        <v>196</v>
      </c>
      <c r="TT20" s="23" t="s">
        <v>196</v>
      </c>
      <c r="TU20" s="24" t="s">
        <v>196</v>
      </c>
      <c r="TW20" s="22" t="s">
        <v>196</v>
      </c>
      <c r="TX20" s="23" t="s">
        <v>196</v>
      </c>
      <c r="TY20" s="23" t="s">
        <v>196</v>
      </c>
      <c r="TZ20" s="24" t="s">
        <v>196</v>
      </c>
      <c r="UB20" s="22" t="s">
        <v>196</v>
      </c>
      <c r="UC20" s="23" t="s">
        <v>196</v>
      </c>
      <c r="UD20" s="23" t="s">
        <v>196</v>
      </c>
      <c r="UE20" s="24" t="s">
        <v>196</v>
      </c>
      <c r="UG20" s="22" t="s">
        <v>196</v>
      </c>
      <c r="UH20" s="23" t="s">
        <v>196</v>
      </c>
      <c r="UI20" s="23" t="s">
        <v>196</v>
      </c>
      <c r="UJ20" s="24" t="s">
        <v>196</v>
      </c>
      <c r="UL20" s="22" t="s">
        <v>196</v>
      </c>
      <c r="UM20" s="23" t="s">
        <v>196</v>
      </c>
      <c r="UN20" s="23" t="s">
        <v>196</v>
      </c>
      <c r="UO20" s="24" t="s">
        <v>196</v>
      </c>
      <c r="UQ20" s="22" t="s">
        <v>196</v>
      </c>
      <c r="UR20" s="23" t="s">
        <v>196</v>
      </c>
      <c r="US20" s="23" t="s">
        <v>196</v>
      </c>
      <c r="UT20" s="24" t="s">
        <v>196</v>
      </c>
      <c r="UV20" s="22" t="s">
        <v>196</v>
      </c>
      <c r="UW20" s="23" t="s">
        <v>196</v>
      </c>
      <c r="UX20" s="23" t="s">
        <v>196</v>
      </c>
      <c r="UY20" s="24" t="s">
        <v>196</v>
      </c>
      <c r="VA20" s="22" t="s">
        <v>196</v>
      </c>
      <c r="VB20" s="23" t="s">
        <v>196</v>
      </c>
      <c r="VC20" s="23" t="s">
        <v>196</v>
      </c>
      <c r="VD20" s="24" t="s">
        <v>196</v>
      </c>
      <c r="VF20" s="22" t="s">
        <v>196</v>
      </c>
      <c r="VG20" s="23" t="s">
        <v>196</v>
      </c>
      <c r="VH20" s="23" t="s">
        <v>196</v>
      </c>
      <c r="VI20" s="24" t="s">
        <v>196</v>
      </c>
      <c r="VK20" s="22" t="s">
        <v>196</v>
      </c>
      <c r="VL20" s="23" t="s">
        <v>196</v>
      </c>
      <c r="VM20" s="23" t="s">
        <v>196</v>
      </c>
      <c r="VN20" s="24" t="s">
        <v>196</v>
      </c>
      <c r="VP20" s="22" t="s">
        <v>196</v>
      </c>
      <c r="VQ20" s="23" t="s">
        <v>196</v>
      </c>
      <c r="VR20" s="23" t="s">
        <v>196</v>
      </c>
      <c r="VS20" s="24" t="s">
        <v>196</v>
      </c>
      <c r="VU20" s="22" t="s">
        <v>196</v>
      </c>
      <c r="VV20" s="23" t="s">
        <v>196</v>
      </c>
      <c r="VW20" s="23" t="s">
        <v>196</v>
      </c>
      <c r="VX20" s="24" t="s">
        <v>196</v>
      </c>
      <c r="VZ20" s="22" t="s">
        <v>196</v>
      </c>
      <c r="WA20" s="23" t="s">
        <v>196</v>
      </c>
      <c r="WB20" s="23" t="s">
        <v>196</v>
      </c>
      <c r="WC20" s="24" t="s">
        <v>196</v>
      </c>
      <c r="WE20" s="22" t="s">
        <v>196</v>
      </c>
      <c r="WF20" s="23" t="s">
        <v>196</v>
      </c>
      <c r="WG20" s="23" t="s">
        <v>196</v>
      </c>
      <c r="WH20" s="24" t="s">
        <v>196</v>
      </c>
      <c r="WJ20" s="22" t="s">
        <v>196</v>
      </c>
      <c r="WK20" s="23" t="s">
        <v>196</v>
      </c>
      <c r="WL20" s="23" t="s">
        <v>196</v>
      </c>
      <c r="WM20" s="24" t="s">
        <v>196</v>
      </c>
      <c r="WO20" s="22" t="s">
        <v>196</v>
      </c>
      <c r="WP20" s="23" t="s">
        <v>196</v>
      </c>
      <c r="WQ20" s="23" t="s">
        <v>196</v>
      </c>
      <c r="WR20" s="24" t="s">
        <v>196</v>
      </c>
      <c r="WT20" s="22" t="s">
        <v>196</v>
      </c>
      <c r="WU20" s="23" t="s">
        <v>196</v>
      </c>
      <c r="WV20" s="23" t="s">
        <v>196</v>
      </c>
      <c r="WW20" s="24" t="s">
        <v>196</v>
      </c>
      <c r="WY20" s="22" t="s">
        <v>196</v>
      </c>
      <c r="WZ20" s="23" t="s">
        <v>196</v>
      </c>
      <c r="XA20" s="23" t="s">
        <v>196</v>
      </c>
      <c r="XB20" s="24" t="s">
        <v>196</v>
      </c>
      <c r="XD20" s="22" t="s">
        <v>196</v>
      </c>
      <c r="XE20" s="23" t="s">
        <v>196</v>
      </c>
      <c r="XF20" s="23" t="s">
        <v>196</v>
      </c>
      <c r="XG20" s="24" t="s">
        <v>196</v>
      </c>
      <c r="XI20" s="22" t="s">
        <v>196</v>
      </c>
      <c r="XJ20" s="23" t="s">
        <v>196</v>
      </c>
      <c r="XK20" s="23" t="s">
        <v>196</v>
      </c>
      <c r="XL20" s="24" t="s">
        <v>196</v>
      </c>
      <c r="XN20" s="22" t="s">
        <v>196</v>
      </c>
      <c r="XO20" s="23" t="s">
        <v>196</v>
      </c>
      <c r="XP20" s="23" t="s">
        <v>196</v>
      </c>
      <c r="XQ20" s="24" t="s">
        <v>196</v>
      </c>
      <c r="XS20" s="22" t="s">
        <v>196</v>
      </c>
      <c r="XT20" s="23" t="s">
        <v>196</v>
      </c>
      <c r="XU20" s="23" t="s">
        <v>196</v>
      </c>
      <c r="XV20" s="24" t="s">
        <v>196</v>
      </c>
      <c r="XX20" s="22" t="s">
        <v>196</v>
      </c>
      <c r="XY20" s="23" t="s">
        <v>196</v>
      </c>
      <c r="XZ20" s="23" t="s">
        <v>196</v>
      </c>
      <c r="YA20" s="24" t="s">
        <v>196</v>
      </c>
      <c r="YC20" s="22" t="s">
        <v>196</v>
      </c>
      <c r="YD20" s="23" t="s">
        <v>196</v>
      </c>
      <c r="YE20" s="23" t="s">
        <v>196</v>
      </c>
      <c r="YF20" s="24" t="s">
        <v>196</v>
      </c>
      <c r="YH20" s="22" t="s">
        <v>196</v>
      </c>
      <c r="YI20" s="23" t="s">
        <v>196</v>
      </c>
      <c r="YJ20" s="23" t="s">
        <v>196</v>
      </c>
      <c r="YK20" s="24" t="s">
        <v>196</v>
      </c>
      <c r="YM20" s="22" t="s">
        <v>196</v>
      </c>
      <c r="YN20" s="23" t="s">
        <v>196</v>
      </c>
      <c r="YO20" s="23" t="s">
        <v>196</v>
      </c>
      <c r="YP20" s="24" t="s">
        <v>196</v>
      </c>
      <c r="YR20" s="22" t="s">
        <v>196</v>
      </c>
      <c r="YS20" s="23" t="s">
        <v>196</v>
      </c>
      <c r="YT20" s="23" t="s">
        <v>196</v>
      </c>
      <c r="YU20" s="24" t="s">
        <v>196</v>
      </c>
      <c r="YW20" s="22" t="s">
        <v>196</v>
      </c>
      <c r="YX20" s="23" t="s">
        <v>196</v>
      </c>
      <c r="YY20" s="23" t="s">
        <v>196</v>
      </c>
      <c r="YZ20" s="24" t="s">
        <v>196</v>
      </c>
      <c r="ZB20" s="22" t="s">
        <v>196</v>
      </c>
      <c r="ZC20" s="23" t="s">
        <v>196</v>
      </c>
      <c r="ZD20" s="23" t="s">
        <v>196</v>
      </c>
      <c r="ZE20" s="24" t="s">
        <v>196</v>
      </c>
      <c r="ZG20" s="22" t="s">
        <v>196</v>
      </c>
      <c r="ZH20" s="23" t="s">
        <v>196</v>
      </c>
      <c r="ZI20" s="23" t="s">
        <v>196</v>
      </c>
      <c r="ZJ20" s="24" t="s">
        <v>196</v>
      </c>
      <c r="ZL20" s="22" t="s">
        <v>196</v>
      </c>
      <c r="ZM20" s="23" t="s">
        <v>196</v>
      </c>
      <c r="ZN20" s="23" t="s">
        <v>196</v>
      </c>
      <c r="ZO20" s="24" t="s">
        <v>196</v>
      </c>
      <c r="ZQ20" s="22" t="s">
        <v>196</v>
      </c>
      <c r="ZR20" s="23" t="s">
        <v>196</v>
      </c>
      <c r="ZS20" s="23" t="s">
        <v>196</v>
      </c>
      <c r="ZT20" s="24" t="s">
        <v>196</v>
      </c>
      <c r="ZV20" s="22" t="s">
        <v>196</v>
      </c>
      <c r="ZW20" s="23" t="s">
        <v>196</v>
      </c>
      <c r="ZX20" s="23" t="s">
        <v>196</v>
      </c>
      <c r="ZY20" s="24" t="s">
        <v>196</v>
      </c>
      <c r="AAA20" s="22" t="s">
        <v>196</v>
      </c>
      <c r="AAB20" s="23" t="s">
        <v>196</v>
      </c>
      <c r="AAC20" s="23" t="s">
        <v>196</v>
      </c>
      <c r="AAD20" s="24" t="s">
        <v>196</v>
      </c>
      <c r="AAF20" s="22" t="s">
        <v>196</v>
      </c>
      <c r="AAG20" s="23" t="s">
        <v>196</v>
      </c>
      <c r="AAH20" s="23" t="s">
        <v>196</v>
      </c>
      <c r="AAI20" s="24" t="s">
        <v>196</v>
      </c>
      <c r="AAK20" s="22" t="s">
        <v>196</v>
      </c>
      <c r="AAL20" s="23" t="s">
        <v>196</v>
      </c>
      <c r="AAM20" s="23" t="s">
        <v>196</v>
      </c>
      <c r="AAN20" s="24" t="s">
        <v>196</v>
      </c>
      <c r="AAP20" s="22" t="s">
        <v>196</v>
      </c>
      <c r="AAQ20" s="23" t="s">
        <v>196</v>
      </c>
      <c r="AAR20" s="23" t="s">
        <v>196</v>
      </c>
      <c r="AAS20" s="24" t="s">
        <v>196</v>
      </c>
      <c r="AAU20" s="22" t="s">
        <v>196</v>
      </c>
      <c r="AAV20" s="23" t="s">
        <v>196</v>
      </c>
      <c r="AAW20" s="23" t="s">
        <v>196</v>
      </c>
      <c r="AAX20" s="24" t="s">
        <v>196</v>
      </c>
      <c r="AAZ20" s="22" t="s">
        <v>196</v>
      </c>
      <c r="ABA20" s="23" t="s">
        <v>196</v>
      </c>
      <c r="ABB20" s="23" t="s">
        <v>196</v>
      </c>
      <c r="ABC20" s="24" t="s">
        <v>196</v>
      </c>
      <c r="ABE20" s="22" t="s">
        <v>196</v>
      </c>
      <c r="ABF20" s="23" t="s">
        <v>196</v>
      </c>
      <c r="ABG20" s="23" t="s">
        <v>196</v>
      </c>
      <c r="ABH20" s="24" t="s">
        <v>196</v>
      </c>
      <c r="ABJ20" s="22" t="s">
        <v>196</v>
      </c>
      <c r="ABK20" s="23" t="s">
        <v>196</v>
      </c>
      <c r="ABL20" s="23" t="s">
        <v>196</v>
      </c>
      <c r="ABM20" s="24" t="s">
        <v>196</v>
      </c>
      <c r="ABO20" s="22" t="s">
        <v>196</v>
      </c>
      <c r="ABP20" s="23" t="s">
        <v>196</v>
      </c>
      <c r="ABQ20" s="23" t="s">
        <v>196</v>
      </c>
      <c r="ABR20" s="24" t="s">
        <v>196</v>
      </c>
      <c r="ABT20" s="22" t="s">
        <v>196</v>
      </c>
      <c r="ABU20" s="23" t="s">
        <v>196</v>
      </c>
      <c r="ABV20" s="23" t="s">
        <v>196</v>
      </c>
      <c r="ABW20" s="24" t="s">
        <v>196</v>
      </c>
      <c r="ABY20" s="22" t="s">
        <v>196</v>
      </c>
      <c r="ABZ20" s="23" t="s">
        <v>196</v>
      </c>
      <c r="ACA20" s="23" t="s">
        <v>196</v>
      </c>
      <c r="ACB20" s="24" t="s">
        <v>196</v>
      </c>
      <c r="ACD20" s="22" t="s">
        <v>196</v>
      </c>
      <c r="ACE20" s="23" t="s">
        <v>196</v>
      </c>
      <c r="ACF20" s="23" t="s">
        <v>196</v>
      </c>
      <c r="ACG20" s="24" t="s">
        <v>196</v>
      </c>
      <c r="ACI20" s="22" t="s">
        <v>196</v>
      </c>
      <c r="ACJ20" s="23" t="s">
        <v>196</v>
      </c>
      <c r="ACK20" s="23" t="s">
        <v>196</v>
      </c>
      <c r="ACL20" s="24" t="s">
        <v>196</v>
      </c>
      <c r="ACN20" s="22" t="s">
        <v>196</v>
      </c>
      <c r="ACO20" s="23" t="s">
        <v>196</v>
      </c>
      <c r="ACP20" s="23" t="s">
        <v>196</v>
      </c>
      <c r="ACQ20" s="24" t="s">
        <v>196</v>
      </c>
      <c r="ACS20" s="22" t="s">
        <v>196</v>
      </c>
      <c r="ACT20" s="23" t="s">
        <v>196</v>
      </c>
      <c r="ACU20" s="23" t="s">
        <v>196</v>
      </c>
      <c r="ACV20" s="24" t="s">
        <v>196</v>
      </c>
      <c r="ACX20" s="22" t="s">
        <v>196</v>
      </c>
      <c r="ACY20" s="23" t="s">
        <v>196</v>
      </c>
      <c r="ACZ20" s="23" t="s">
        <v>196</v>
      </c>
      <c r="ADA20" s="24" t="s">
        <v>196</v>
      </c>
      <c r="ADC20" s="22" t="s">
        <v>196</v>
      </c>
      <c r="ADD20" s="23" t="s">
        <v>196</v>
      </c>
      <c r="ADE20" s="23" t="s">
        <v>196</v>
      </c>
      <c r="ADF20" s="24" t="s">
        <v>196</v>
      </c>
      <c r="ADH20" s="22" t="s">
        <v>196</v>
      </c>
      <c r="ADI20" s="23" t="s">
        <v>196</v>
      </c>
      <c r="ADJ20" s="23" t="s">
        <v>196</v>
      </c>
      <c r="ADK20" s="24" t="s">
        <v>196</v>
      </c>
      <c r="ADM20" s="22" t="s">
        <v>196</v>
      </c>
      <c r="ADN20" s="23" t="s">
        <v>196</v>
      </c>
      <c r="ADO20" s="23" t="s">
        <v>196</v>
      </c>
      <c r="ADP20" s="24" t="s">
        <v>196</v>
      </c>
      <c r="ADR20" s="22" t="s">
        <v>196</v>
      </c>
      <c r="ADS20" s="23" t="s">
        <v>196</v>
      </c>
      <c r="ADT20" s="23" t="s">
        <v>196</v>
      </c>
      <c r="ADU20" s="24" t="s">
        <v>196</v>
      </c>
      <c r="ADW20" s="22" t="s">
        <v>196</v>
      </c>
      <c r="ADX20" s="23" t="s">
        <v>196</v>
      </c>
      <c r="ADY20" s="23" t="s">
        <v>196</v>
      </c>
      <c r="ADZ20" s="24" t="s">
        <v>196</v>
      </c>
      <c r="AEB20" s="22" t="s">
        <v>196</v>
      </c>
      <c r="AEC20" s="23" t="s">
        <v>196</v>
      </c>
      <c r="AED20" s="23" t="s">
        <v>196</v>
      </c>
      <c r="AEE20" s="24" t="s">
        <v>196</v>
      </c>
      <c r="AEG20" s="22" t="s">
        <v>196</v>
      </c>
      <c r="AEH20" s="23" t="s">
        <v>196</v>
      </c>
      <c r="AEI20" s="23" t="s">
        <v>196</v>
      </c>
      <c r="AEJ20" s="24" t="s">
        <v>196</v>
      </c>
      <c r="AEL20" s="22" t="s">
        <v>196</v>
      </c>
      <c r="AEM20" s="23" t="s">
        <v>196</v>
      </c>
      <c r="AEN20" s="23" t="s">
        <v>196</v>
      </c>
      <c r="AEO20" s="24" t="s">
        <v>196</v>
      </c>
      <c r="AEQ20" s="22" t="s">
        <v>196</v>
      </c>
      <c r="AER20" s="23" t="s">
        <v>196</v>
      </c>
      <c r="AES20" s="23" t="s">
        <v>196</v>
      </c>
      <c r="AET20" s="24" t="s">
        <v>196</v>
      </c>
      <c r="AEV20" s="22" t="s">
        <v>196</v>
      </c>
      <c r="AEW20" s="23" t="s">
        <v>196</v>
      </c>
      <c r="AEX20" s="23" t="s">
        <v>196</v>
      </c>
      <c r="AEY20" s="24" t="s">
        <v>196</v>
      </c>
      <c r="AFA20" s="22" t="s">
        <v>196</v>
      </c>
      <c r="AFB20" s="23" t="s">
        <v>196</v>
      </c>
      <c r="AFC20" s="23" t="s">
        <v>196</v>
      </c>
      <c r="AFD20" s="24" t="s">
        <v>196</v>
      </c>
      <c r="AFF20" s="22" t="s">
        <v>196</v>
      </c>
      <c r="AFG20" s="23" t="s">
        <v>196</v>
      </c>
      <c r="AFH20" s="23" t="s">
        <v>196</v>
      </c>
      <c r="AFI20" s="24" t="s">
        <v>196</v>
      </c>
      <c r="AFK20" s="22" t="s">
        <v>196</v>
      </c>
      <c r="AFL20" s="23" t="s">
        <v>196</v>
      </c>
      <c r="AFM20" s="23" t="s">
        <v>196</v>
      </c>
      <c r="AFN20" s="24" t="s">
        <v>196</v>
      </c>
      <c r="AFP20" s="22" t="s">
        <v>196</v>
      </c>
      <c r="AFQ20" s="23" t="s">
        <v>196</v>
      </c>
      <c r="AFR20" s="23" t="s">
        <v>196</v>
      </c>
      <c r="AFS20" s="24" t="s">
        <v>196</v>
      </c>
      <c r="AFU20" s="22" t="s">
        <v>196</v>
      </c>
      <c r="AFV20" s="23" t="s">
        <v>196</v>
      </c>
      <c r="AFW20" s="23" t="s">
        <v>196</v>
      </c>
      <c r="AFX20" s="24" t="s">
        <v>196</v>
      </c>
      <c r="AFZ20" s="22" t="s">
        <v>196</v>
      </c>
      <c r="AGA20" s="23" t="s">
        <v>196</v>
      </c>
      <c r="AGB20" s="23" t="s">
        <v>196</v>
      </c>
      <c r="AGC20" s="24" t="s">
        <v>196</v>
      </c>
      <c r="AGE20" s="22" t="s">
        <v>196</v>
      </c>
      <c r="AGF20" s="23" t="s">
        <v>196</v>
      </c>
      <c r="AGG20" s="23" t="s">
        <v>196</v>
      </c>
      <c r="AGH20" s="24" t="s">
        <v>196</v>
      </c>
      <c r="AGJ20" s="22" t="s">
        <v>196</v>
      </c>
      <c r="AGK20" s="23" t="s">
        <v>196</v>
      </c>
      <c r="AGL20" s="23" t="s">
        <v>196</v>
      </c>
      <c r="AGM20" s="24" t="s">
        <v>196</v>
      </c>
      <c r="AGO20" s="22" t="s">
        <v>196</v>
      </c>
      <c r="AGP20" s="23" t="s">
        <v>196</v>
      </c>
      <c r="AGQ20" s="23" t="s">
        <v>196</v>
      </c>
      <c r="AGR20" s="24" t="s">
        <v>196</v>
      </c>
      <c r="AGT20" s="22" t="s">
        <v>196</v>
      </c>
      <c r="AGU20" s="23" t="s">
        <v>196</v>
      </c>
      <c r="AGV20" s="23" t="s">
        <v>196</v>
      </c>
      <c r="AGW20" s="24" t="s">
        <v>196</v>
      </c>
      <c r="AGY20" s="22" t="s">
        <v>196</v>
      </c>
      <c r="AGZ20" s="23" t="s">
        <v>196</v>
      </c>
      <c r="AHA20" s="23" t="s">
        <v>196</v>
      </c>
      <c r="AHB20" s="24" t="s">
        <v>196</v>
      </c>
      <c r="AHD20" s="22" t="s">
        <v>196</v>
      </c>
      <c r="AHE20" s="23" t="s">
        <v>196</v>
      </c>
      <c r="AHF20" s="23" t="s">
        <v>196</v>
      </c>
      <c r="AHG20" s="24" t="s">
        <v>196</v>
      </c>
      <c r="AHI20" s="22" t="s">
        <v>196</v>
      </c>
      <c r="AHJ20" s="23" t="s">
        <v>196</v>
      </c>
      <c r="AHK20" s="23" t="s">
        <v>196</v>
      </c>
      <c r="AHL20" s="24" t="s">
        <v>196</v>
      </c>
      <c r="AHN20" s="22" t="s">
        <v>196</v>
      </c>
      <c r="AHO20" s="23" t="s">
        <v>196</v>
      </c>
      <c r="AHP20" s="23" t="s">
        <v>196</v>
      </c>
      <c r="AHQ20" s="24" t="s">
        <v>196</v>
      </c>
      <c r="AHS20" s="22" t="s">
        <v>196</v>
      </c>
      <c r="AHT20" s="23" t="s">
        <v>196</v>
      </c>
      <c r="AHU20" s="23" t="s">
        <v>196</v>
      </c>
      <c r="AHV20" s="24" t="s">
        <v>196</v>
      </c>
      <c r="AHX20" s="22" t="s">
        <v>196</v>
      </c>
      <c r="AHY20" s="23" t="s">
        <v>196</v>
      </c>
      <c r="AHZ20" s="23" t="s">
        <v>196</v>
      </c>
      <c r="AIA20" s="24" t="s">
        <v>196</v>
      </c>
      <c r="AIC20" s="22" t="s">
        <v>196</v>
      </c>
      <c r="AID20" s="23" t="s">
        <v>196</v>
      </c>
      <c r="AIE20" s="23" t="s">
        <v>196</v>
      </c>
      <c r="AIF20" s="24" t="s">
        <v>196</v>
      </c>
      <c r="AIH20" s="22" t="s">
        <v>196</v>
      </c>
      <c r="AII20" s="23" t="s">
        <v>196</v>
      </c>
      <c r="AIJ20" s="23" t="s">
        <v>196</v>
      </c>
      <c r="AIK20" s="24" t="s">
        <v>196</v>
      </c>
      <c r="AIM20" s="22" t="s">
        <v>196</v>
      </c>
      <c r="AIN20" s="23" t="s">
        <v>196</v>
      </c>
      <c r="AIO20" s="23" t="s">
        <v>196</v>
      </c>
      <c r="AIP20" s="24" t="s">
        <v>196</v>
      </c>
      <c r="AIR20" s="22" t="s">
        <v>196</v>
      </c>
      <c r="AIS20" s="23" t="s">
        <v>196</v>
      </c>
      <c r="AIT20" s="23" t="s">
        <v>196</v>
      </c>
      <c r="AIU20" s="24" t="s">
        <v>196</v>
      </c>
      <c r="AIW20" s="22" t="s">
        <v>196</v>
      </c>
      <c r="AIX20" s="23" t="s">
        <v>196</v>
      </c>
      <c r="AIY20" s="23" t="s">
        <v>196</v>
      </c>
      <c r="AIZ20" s="24" t="s">
        <v>196</v>
      </c>
      <c r="AJB20" s="22" t="s">
        <v>196</v>
      </c>
      <c r="AJC20" s="23" t="s">
        <v>196</v>
      </c>
      <c r="AJD20" s="23" t="s">
        <v>196</v>
      </c>
      <c r="AJE20" s="24" t="s">
        <v>196</v>
      </c>
      <c r="AJG20" s="22" t="s">
        <v>196</v>
      </c>
      <c r="AJH20" s="23" t="s">
        <v>196</v>
      </c>
      <c r="AJI20" s="23" t="s">
        <v>196</v>
      </c>
      <c r="AJJ20" s="24" t="s">
        <v>196</v>
      </c>
      <c r="AJL20" s="22" t="s">
        <v>196</v>
      </c>
      <c r="AJM20" s="23" t="s">
        <v>196</v>
      </c>
      <c r="AJN20" s="23" t="s">
        <v>196</v>
      </c>
      <c r="AJO20" s="24" t="s">
        <v>196</v>
      </c>
      <c r="AJQ20" s="22" t="s">
        <v>196</v>
      </c>
      <c r="AJR20" s="23" t="s">
        <v>196</v>
      </c>
      <c r="AJS20" s="23" t="s">
        <v>196</v>
      </c>
      <c r="AJT20" s="24" t="s">
        <v>196</v>
      </c>
      <c r="AJV20" s="22" t="s">
        <v>196</v>
      </c>
      <c r="AJW20" s="23" t="s">
        <v>196</v>
      </c>
      <c r="AJX20" s="23" t="s">
        <v>196</v>
      </c>
      <c r="AJY20" s="24" t="s">
        <v>196</v>
      </c>
    </row>
    <row r="21" ht="15.75" customHeight="1">
      <c r="B21" s="7" t="s">
        <v>196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>
      <c r="A27" s="30" t="s">
        <v>205</v>
      </c>
      <c r="B27" s="31">
        <f>SUMIF(C7:AJY7,"A",C9:AJY9)</f>
        <v>939</v>
      </c>
      <c r="C27" s="32"/>
      <c r="D27" s="32"/>
      <c r="E27" s="32"/>
      <c r="F27" s="32"/>
      <c r="G27" s="32"/>
      <c r="H27" s="32"/>
      <c r="I27" s="32"/>
      <c r="J27" s="32"/>
      <c r="K27" s="32"/>
    </row>
    <row r="28" ht="15.75" customHeight="1">
      <c r="A28" s="30" t="s">
        <v>206</v>
      </c>
      <c r="B28" s="31">
        <f>SUMIF(C7:AJY7,"B",C9:AJY9)</f>
        <v>2189</v>
      </c>
      <c r="C28" s="32"/>
      <c r="D28" s="32"/>
      <c r="E28" s="32"/>
      <c r="F28" s="32"/>
      <c r="G28" s="32"/>
      <c r="H28" s="32"/>
      <c r="I28" s="32"/>
      <c r="J28" s="32"/>
      <c r="K28" s="32"/>
    </row>
    <row r="29" ht="15.75" customHeight="1">
      <c r="A29" s="30" t="s">
        <v>207</v>
      </c>
      <c r="B29" s="31">
        <f>SUMIF(C7:AJY7,"C",C9:AJY9)</f>
        <v>4552</v>
      </c>
      <c r="C29" s="32"/>
      <c r="D29" s="32"/>
      <c r="E29" s="32"/>
      <c r="F29" s="32"/>
      <c r="G29" s="32"/>
      <c r="H29" s="32"/>
      <c r="I29" s="32"/>
      <c r="J29" s="32"/>
      <c r="K29" s="32"/>
    </row>
    <row r="30" ht="15.75" customHeight="1">
      <c r="A30" s="32"/>
      <c r="B30" s="31">
        <f>SUM(B27:B29)</f>
        <v>7680</v>
      </c>
      <c r="C30" s="32"/>
      <c r="D30" s="32"/>
      <c r="E30" s="32"/>
      <c r="F30" s="32"/>
      <c r="G30" s="32"/>
      <c r="H30" s="32"/>
      <c r="I30" s="32"/>
      <c r="J30" s="32"/>
      <c r="K30" s="32"/>
    </row>
    <row r="31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</row>
    <row r="32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ht="15.75" customHeight="1">
      <c r="A33" s="33" t="s">
        <v>208</v>
      </c>
      <c r="B33" s="34">
        <f t="array" ref="B33">SUM(IF(ISNUMBER(SEARCH("aged-hand_choose_aged-hand", 5:5)), OFFSET(9:9, 0, 1), 0))</f>
        <v>117</v>
      </c>
      <c r="C33" s="35" t="s">
        <v>209</v>
      </c>
      <c r="D33" s="35"/>
      <c r="E33" s="35"/>
      <c r="F33" s="36">
        <f t="array" ref="F33">SUM(IF(ISNUMBER(SEARCH("ch-gladysiewski", 5:5)), OFFSET(9:9, 0, 1), 0))</f>
        <v>254</v>
      </c>
      <c r="G33" s="32"/>
      <c r="H33" s="37" t="s">
        <v>210</v>
      </c>
      <c r="I33" s="37"/>
      <c r="J33" s="37"/>
      <c r="K33" s="38">
        <f t="array" ref="K33">SUM(IF(ISNUMBER(SEARCH("indoor", 5:5)), OFFSET(9:9, 0, 1), 0))</f>
        <v>491</v>
      </c>
    </row>
    <row r="34" ht="15.75" customHeight="1">
      <c r="A34" s="33" t="s">
        <v>211</v>
      </c>
      <c r="B34" s="34">
        <f t="array" ref="B34">SUM(IF(ISNUMBER(SEARCH("aged-hand_choose_rotate", 5:5)), OFFSET(9:9, 0, 1), 0))</f>
        <v>130</v>
      </c>
      <c r="C34" s="35" t="s">
        <v>212</v>
      </c>
      <c r="D34" s="35"/>
      <c r="E34" s="35"/>
      <c r="F34" s="36">
        <f t="array" ref="F34">SUM(IF(ISNUMBER(SEARCH("moon-ring", 5:5)), OFFSET(9:9, 0, 1), 0))</f>
        <v>222</v>
      </c>
      <c r="G34" s="32"/>
      <c r="H34" s="37" t="s">
        <v>213</v>
      </c>
      <c r="I34" s="37"/>
      <c r="J34" s="37"/>
      <c r="K34" s="38">
        <f t="array" ref="K34">SUM(IF(ISNUMBER(SEARCH("cinema", 5:5)), OFFSET(9:9, 0, 1), 0))</f>
        <v>242</v>
      </c>
    </row>
    <row r="35" ht="15.75" customHeight="1">
      <c r="A35" s="33" t="s">
        <v>214</v>
      </c>
      <c r="B35" s="34">
        <f t="array" ref="B35">SUM(IF(ISNUMBER(SEARCH("young-hand_young-hand", 5:5)), OFFSET(9:9, 0, 1), 0))</f>
        <v>131</v>
      </c>
      <c r="C35" s="35" t="s">
        <v>215</v>
      </c>
      <c r="D35" s="35"/>
      <c r="E35" s="35"/>
      <c r="F35" s="36">
        <f t="array" ref="F35">SUM(IF(ISNUMBER(SEARCH("riccardoferrari-ring", 5:5)), OFFSET(9:9, 0, 1), 0))</f>
        <v>258</v>
      </c>
      <c r="G35" s="32"/>
      <c r="H35" s="37" t="s">
        <v>216</v>
      </c>
      <c r="I35" s="37"/>
      <c r="J35" s="37"/>
      <c r="K35" s="38">
        <f t="array" ref="K35">SUM(IF(ISNUMBER(SEARCH("industri", 5:5)), OFFSET(9:9, 0, 1), 0))</f>
        <v>206</v>
      </c>
    </row>
    <row r="36" ht="15.75" customHeight="1">
      <c r="A36" s="33" t="s">
        <v>217</v>
      </c>
      <c r="B36" s="34">
        <f t="array" ref="B36">SUM(IF(ISNUMBER(SEARCH("young-hand_rotate", 5:5)), OFFSET(9:9, 0, 1), 0))</f>
        <v>140</v>
      </c>
      <c r="C36" s="35" t="s">
        <v>218</v>
      </c>
      <c r="D36" s="35"/>
      <c r="E36" s="35"/>
      <c r="F36" s="36">
        <f t="array" ref="F36">SUM(IF(ISNUMBER(SEARCH("golden-ring-test", 5:5)), OFFSET(9:9, 0, 1), 0))</f>
        <v>205</v>
      </c>
      <c r="G36" s="32"/>
      <c r="H36" s="32"/>
      <c r="I36" s="32"/>
      <c r="J36" s="32"/>
      <c r="K36" s="32"/>
    </row>
    <row r="37" ht="15.75" customHeight="1">
      <c r="A37" s="33" t="s">
        <v>219</v>
      </c>
      <c r="B37" s="34">
        <f t="array" ref="B37">SUM(IF(ISNUMBER(SEARCH("light-skin-hand_light-skin-hand", 5:5)), OFFSET(9:9, 0, 1), 0))</f>
        <v>112</v>
      </c>
      <c r="C37" s="32"/>
      <c r="D37" s="32"/>
      <c r="E37" s="32"/>
      <c r="F37" s="31">
        <f>SUM(F33:F36)</f>
        <v>939</v>
      </c>
      <c r="G37" s="32"/>
      <c r="H37" s="32"/>
      <c r="I37" s="32"/>
      <c r="J37" s="32"/>
      <c r="K37" s="31">
        <f>SUM(K33:K35)</f>
        <v>939</v>
      </c>
    </row>
    <row r="38" ht="15.75" customHeight="1">
      <c r="A38" s="33" t="s">
        <v>220</v>
      </c>
      <c r="B38" s="34">
        <f t="array" ref="B38">SUM(IF(ISNUMBER(SEARCH("light-skin-hand_rotate", 5:5)), OFFSET(9:9, 0, 1), 0))</f>
        <v>121</v>
      </c>
      <c r="C38" s="32"/>
      <c r="D38" s="32"/>
      <c r="E38" s="32"/>
      <c r="F38" s="32"/>
      <c r="G38" s="32"/>
      <c r="H38" s="32"/>
      <c r="I38" s="32"/>
      <c r="J38" s="32"/>
      <c r="K38" s="32"/>
    </row>
    <row r="39" ht="15.75" customHeight="1">
      <c r="A39" s="33" t="s">
        <v>221</v>
      </c>
      <c r="B39" s="34">
        <f t="array" ref="B39">SUM(IF(ISNUMBER(SEARCH("dark-skin-hand_dark-skin-hand", 5:5)), OFFSET(9:9, 0, 1), 0))</f>
        <v>87</v>
      </c>
      <c r="C39" s="32"/>
      <c r="D39" s="32"/>
      <c r="E39" s="32"/>
      <c r="F39" s="32"/>
      <c r="G39" s="32"/>
      <c r="H39" s="32"/>
      <c r="I39" s="32"/>
      <c r="J39" s="32"/>
      <c r="K39" s="32"/>
    </row>
    <row r="40" ht="15.75" customHeight="1">
      <c r="A40" s="33" t="s">
        <v>222</v>
      </c>
      <c r="B40" s="34">
        <f t="array" ref="B40">SUM(IF(ISNUMBER(SEARCH("dark-skin-hand_rotate", 5:5)), OFFSET(9:9, 0, 1), 0))</f>
        <v>101</v>
      </c>
      <c r="C40" s="32"/>
      <c r="D40" s="32"/>
      <c r="E40" s="32"/>
      <c r="F40" s="32"/>
      <c r="G40" s="32"/>
      <c r="H40" s="32"/>
      <c r="I40" s="32"/>
      <c r="J40" s="32"/>
      <c r="K40" s="32"/>
    </row>
    <row r="41" ht="15.75" customHeight="1">
      <c r="A41" s="32"/>
      <c r="B41" s="31">
        <f>SUM(B33:B40)</f>
        <v>939</v>
      </c>
      <c r="C41" s="32"/>
      <c r="D41" s="32"/>
      <c r="E41" s="32"/>
      <c r="F41" s="32"/>
      <c r="G41" s="32"/>
      <c r="H41" s="32"/>
      <c r="I41" s="32"/>
      <c r="J41" s="32"/>
      <c r="K41" s="32"/>
    </row>
    <row r="42" ht="15.75" customHeight="1">
      <c r="A42" s="33" t="s">
        <v>223</v>
      </c>
      <c r="B42" s="34">
        <f t="array" ref="B42">SUM(IF(ISNUMBER(SEARCH("aged-hand_choose_aged-hand", 5:5)), OFFSET(9:9, 0, 2), 0))</f>
        <v>255</v>
      </c>
      <c r="C42" s="35" t="s">
        <v>224</v>
      </c>
      <c r="D42" s="35"/>
      <c r="E42" s="35"/>
      <c r="F42" s="36">
        <f t="array" ref="F42">SUM(IF(ISNUMBER(SEARCH("ch-gladysiewski", 5:5)), OFFSET(9:9, 0, 2), 0))</f>
        <v>510</v>
      </c>
      <c r="G42" s="32"/>
      <c r="H42" s="37" t="s">
        <v>225</v>
      </c>
      <c r="I42" s="37"/>
      <c r="J42" s="37"/>
      <c r="K42" s="38">
        <f t="array" ref="K42">SUM(IF(ISNUMBER(SEARCH("indoor", 5:5)), OFFSET(9:9, 0, 2), 0))</f>
        <v>638</v>
      </c>
    </row>
    <row r="43" ht="15.75" customHeight="1">
      <c r="A43" s="33" t="s">
        <v>226</v>
      </c>
      <c r="B43" s="34">
        <f t="array" ref="B43">SUM(IF(ISNUMBER(SEARCH("aged-hand_choose_rotate", 5:5)), OFFSET(9:9, 0, 2), 0))</f>
        <v>303</v>
      </c>
      <c r="C43" s="35" t="s">
        <v>227</v>
      </c>
      <c r="D43" s="35"/>
      <c r="E43" s="35"/>
      <c r="F43" s="36">
        <f t="array" ref="F43">SUM(IF(ISNUMBER(SEARCH("moon-ring", 5:5)), OFFSET(9:9, 0, 2), 0))</f>
        <v>573</v>
      </c>
      <c r="G43" s="32"/>
      <c r="H43" s="37" t="s">
        <v>228</v>
      </c>
      <c r="I43" s="37"/>
      <c r="J43" s="37"/>
      <c r="K43" s="38">
        <f t="array" ref="K43">SUM(IF(ISNUMBER(SEARCH("cinema", 5:5)), OFFSET(9:9, 0, 2), 0))</f>
        <v>783</v>
      </c>
    </row>
    <row r="44" ht="15.75" customHeight="1">
      <c r="A44" s="33" t="s">
        <v>229</v>
      </c>
      <c r="B44" s="34">
        <f t="array" ref="B44">SUM(IF(ISNUMBER(SEARCH("young-hand_young-hand", 5:5)), OFFSET(9:9, 0, 2), 0))</f>
        <v>278</v>
      </c>
      <c r="C44" s="35" t="s">
        <v>230</v>
      </c>
      <c r="D44" s="35"/>
      <c r="E44" s="35"/>
      <c r="F44" s="36">
        <f t="array" ref="F44">SUM(IF(ISNUMBER(SEARCH("riccardoferrari-ring", 5:5)), OFFSET(9:9, 0, 2), 0))</f>
        <v>470</v>
      </c>
      <c r="G44" s="32"/>
      <c r="H44" s="37" t="s">
        <v>231</v>
      </c>
      <c r="I44" s="37"/>
      <c r="J44" s="37"/>
      <c r="K44" s="38">
        <f t="array" ref="K44">SUM(IF(ISNUMBER(SEARCH("industri", 5:5)), OFFSET(9:9, 0, 2), 0))</f>
        <v>768</v>
      </c>
    </row>
    <row r="45" ht="15.75" customHeight="1">
      <c r="A45" s="33" t="s">
        <v>232</v>
      </c>
      <c r="B45" s="34">
        <f t="array" ref="B45">SUM(IF(ISNUMBER(SEARCH("young-hand_rotate", 5:5)), OFFSET(9:9, 0, 2), 0))</f>
        <v>255</v>
      </c>
      <c r="C45" s="35" t="s">
        <v>233</v>
      </c>
      <c r="D45" s="35"/>
      <c r="E45" s="35"/>
      <c r="F45" s="36">
        <f t="array" ref="F45">SUM(IF(ISNUMBER(SEARCH("golden-ring-test", 5:5)), OFFSET(9:9, 0, 2), 0))</f>
        <v>636</v>
      </c>
      <c r="G45" s="32"/>
      <c r="H45" s="32"/>
      <c r="I45" s="32"/>
      <c r="J45" s="32"/>
      <c r="K45" s="32"/>
    </row>
    <row r="46" ht="15.75" customHeight="1">
      <c r="A46" s="33" t="s">
        <v>234</v>
      </c>
      <c r="B46" s="34">
        <f t="array" ref="B46">SUM(IF(ISNUMBER(SEARCH("light-skin-hand_light-skin-hand", 5:5)), OFFSET(9:9, 0, 2), 0))</f>
        <v>278</v>
      </c>
      <c r="C46" s="32"/>
      <c r="D46" s="32"/>
      <c r="E46" s="32"/>
      <c r="F46" s="31">
        <f>SUM(F42:F45)</f>
        <v>2189</v>
      </c>
      <c r="G46" s="32"/>
      <c r="H46" s="32"/>
      <c r="I46" s="32"/>
      <c r="J46" s="32"/>
      <c r="K46" s="31">
        <f>SUM(K42:K44)</f>
        <v>2189</v>
      </c>
    </row>
    <row r="47" ht="15.75" customHeight="1">
      <c r="A47" s="33" t="s">
        <v>235</v>
      </c>
      <c r="B47" s="34">
        <f t="array" ref="B47">SUM(IF(ISNUMBER(SEARCH("light-skin-hand_rotate", 5:5)), OFFSET(9:9, 0, 2), 0))</f>
        <v>355</v>
      </c>
      <c r="C47" s="32"/>
      <c r="D47" s="32"/>
      <c r="E47" s="32"/>
      <c r="F47" s="32"/>
      <c r="G47" s="32"/>
      <c r="H47" s="32"/>
      <c r="I47" s="32"/>
      <c r="J47" s="32"/>
      <c r="K47" s="32"/>
    </row>
    <row r="48" ht="15.75" customHeight="1">
      <c r="A48" s="33" t="s">
        <v>236</v>
      </c>
      <c r="B48" s="34">
        <f t="array" ref="B48">SUM(IF(ISNUMBER(SEARCH("dark-skin-hand_dark-skin-hand", 5:5)), OFFSET(9:9, 0, 2), 0))</f>
        <v>225</v>
      </c>
      <c r="C48" s="32"/>
      <c r="D48" s="32"/>
      <c r="E48" s="32"/>
      <c r="F48" s="32"/>
      <c r="G48" s="32"/>
      <c r="H48" s="32"/>
      <c r="I48" s="32"/>
      <c r="J48" s="32"/>
      <c r="K48" s="32"/>
    </row>
    <row r="49" ht="15.75" customHeight="1">
      <c r="A49" s="33" t="s">
        <v>237</v>
      </c>
      <c r="B49" s="34">
        <f t="array" ref="B49">SUM(IF(ISNUMBER(SEARCH("dark-skin-hand_rotate", 5:5)), OFFSET(9:9, 0, 2), 0))</f>
        <v>240</v>
      </c>
      <c r="C49" s="32"/>
      <c r="D49" s="32"/>
      <c r="E49" s="32"/>
      <c r="F49" s="32"/>
      <c r="G49" s="32"/>
      <c r="H49" s="32"/>
      <c r="I49" s="32"/>
      <c r="J49" s="32"/>
      <c r="K49" s="32"/>
    </row>
    <row r="50" ht="15.75" customHeight="1">
      <c r="A50" s="32"/>
      <c r="B50" s="31">
        <f>SUM(B42:B49)</f>
        <v>2189</v>
      </c>
      <c r="C50" s="32"/>
      <c r="D50" s="32"/>
      <c r="E50" s="32"/>
      <c r="F50" s="32"/>
      <c r="G50" s="32"/>
      <c r="H50" s="32"/>
      <c r="I50" s="32"/>
      <c r="J50" s="32"/>
      <c r="K50" s="32"/>
    </row>
    <row r="51" ht="15.75" customHeight="1">
      <c r="A51" s="33" t="s">
        <v>238</v>
      </c>
      <c r="B51" s="34">
        <f t="array" ref="B51">SUM(IF(ISNUMBER(SEARCH("aged-hand_choose_aged-hand", 5:5)), OFFSET(9:9, 0, 3), 0))</f>
        <v>588</v>
      </c>
      <c r="C51" s="35" t="s">
        <v>239</v>
      </c>
      <c r="D51" s="35"/>
      <c r="E51" s="35"/>
      <c r="F51" s="36">
        <f t="array" ref="F51">SUM(IF(ISNUMBER(SEARCH("ch-gladysiewski", 5:5)), OFFSET(9:9, 0, 3), 0))</f>
        <v>1156</v>
      </c>
      <c r="G51" s="32"/>
      <c r="H51" s="37" t="s">
        <v>240</v>
      </c>
      <c r="I51" s="37"/>
      <c r="J51" s="37"/>
      <c r="K51" s="38">
        <f t="array" ref="K51">SUM(IF(ISNUMBER(SEARCH("indoor", 5:5)), OFFSET(9:9, 0, 3), 0))</f>
        <v>1431</v>
      </c>
    </row>
    <row r="52" ht="15.75" customHeight="1">
      <c r="A52" s="33" t="s">
        <v>241</v>
      </c>
      <c r="B52" s="34">
        <f t="array" ref="B52">SUM(IF(ISNUMBER(SEARCH("aged-hand_choose_rotate", 5:5)), OFFSET(9:9, 0, 3), 0))</f>
        <v>527</v>
      </c>
      <c r="C52" s="35" t="s">
        <v>242</v>
      </c>
      <c r="D52" s="35"/>
      <c r="E52" s="35"/>
      <c r="F52" s="36">
        <f t="array" ref="F52">SUM(IF(ISNUMBER(SEARCH("moon-ring", 5:5)), OFFSET(9:9, 0, 3), 0))</f>
        <v>1125</v>
      </c>
      <c r="G52" s="32"/>
      <c r="H52" s="37" t="s">
        <v>243</v>
      </c>
      <c r="I52" s="37"/>
      <c r="J52" s="37"/>
      <c r="K52" s="38">
        <f t="array" ref="K52">SUM(IF(ISNUMBER(SEARCH("cinema", 5:5)), OFFSET(9:9, 0, 3), 0))</f>
        <v>1535</v>
      </c>
    </row>
    <row r="53" ht="15.75" customHeight="1">
      <c r="A53" s="33" t="s">
        <v>244</v>
      </c>
      <c r="B53" s="34">
        <f t="array" ref="B53">SUM(IF(ISNUMBER(SEARCH("young-hand_young-hand", 5:5)), OFFSET(9:9, 0, 3), 0))</f>
        <v>551</v>
      </c>
      <c r="C53" s="35" t="s">
        <v>245</v>
      </c>
      <c r="D53" s="35"/>
      <c r="E53" s="35"/>
      <c r="F53" s="36">
        <f t="array" ref="F53">SUM(IF(ISNUMBER(SEARCH("riccardoferrari-ring", 5:5)), OFFSET(9:9, 0, 3), 0))</f>
        <v>1192</v>
      </c>
      <c r="G53" s="32"/>
      <c r="H53" s="37" t="s">
        <v>246</v>
      </c>
      <c r="I53" s="37"/>
      <c r="J53" s="37"/>
      <c r="K53" s="38">
        <f t="array" ref="K53">SUM(IF(ISNUMBER(SEARCH("industri", 5:5)), OFFSET(9:9, 0, 3), 0))</f>
        <v>1586</v>
      </c>
    </row>
    <row r="54" ht="15.75" customHeight="1">
      <c r="A54" s="33" t="s">
        <v>247</v>
      </c>
      <c r="B54" s="34">
        <f t="array" ref="B54">SUM(IF(ISNUMBER(SEARCH("young-hand_rotate", 5:5)), OFFSET(9:9, 0, 3), 0))</f>
        <v>565</v>
      </c>
      <c r="C54" s="35" t="s">
        <v>248</v>
      </c>
      <c r="D54" s="35"/>
      <c r="E54" s="35"/>
      <c r="F54" s="36">
        <f t="array" ref="F54">SUM(IF(ISNUMBER(SEARCH("golden-ring-test", 5:5)), OFFSET(9:9, 0, 3), 0))</f>
        <v>1079</v>
      </c>
      <c r="G54" s="32"/>
      <c r="H54" s="32"/>
      <c r="I54" s="32"/>
      <c r="J54" s="32"/>
      <c r="K54" s="32"/>
    </row>
    <row r="55" ht="15.75" customHeight="1">
      <c r="A55" s="33" t="s">
        <v>249</v>
      </c>
      <c r="B55" s="34">
        <f t="array" ref="B55">SUM(IF(ISNUMBER(SEARCH("light-skin-hand_light-skin-hand", 5:5)), OFFSET(9:9, 0, 3), 0))</f>
        <v>570</v>
      </c>
      <c r="C55" s="32"/>
      <c r="D55" s="32"/>
      <c r="E55" s="32"/>
      <c r="F55" s="31">
        <f>SUM(F51:F54)</f>
        <v>4552</v>
      </c>
      <c r="G55" s="32"/>
      <c r="H55" s="32"/>
      <c r="I55" s="32"/>
      <c r="J55" s="32"/>
      <c r="K55" s="31">
        <f>SUM(K51:K53)</f>
        <v>4552</v>
      </c>
    </row>
    <row r="56" ht="15.75" customHeight="1">
      <c r="A56" s="33" t="s">
        <v>250</v>
      </c>
      <c r="B56" s="34">
        <f t="array" ref="B56">SUM(IF(ISNUMBER(SEARCH("light-skin-hand_rotate", 5:5)), OFFSET(9:9, 0, 3), 0))</f>
        <v>484</v>
      </c>
      <c r="C56" s="32"/>
      <c r="D56" s="32"/>
      <c r="E56" s="32"/>
      <c r="F56" s="31">
        <f>SUM(F37,F46,F55)</f>
        <v>7680</v>
      </c>
      <c r="G56" s="32"/>
      <c r="H56" s="32"/>
      <c r="I56" s="32"/>
      <c r="J56" s="32"/>
      <c r="K56" s="31">
        <f>SUM(K37,K46,K55)</f>
        <v>7680</v>
      </c>
    </row>
    <row r="57" ht="15.75" customHeight="1">
      <c r="A57" s="33" t="s">
        <v>251</v>
      </c>
      <c r="B57" s="34">
        <f t="array" ref="B57">SUM(IF(ISNUMBER(SEARCH("dark-skin-hand_dark-skin-hand", 5:5)), OFFSET(9:9, 0, 3), 0))</f>
        <v>648</v>
      </c>
      <c r="C57" s="32"/>
      <c r="D57" s="32"/>
      <c r="E57" s="32"/>
      <c r="F57" s="32"/>
      <c r="G57" s="32"/>
      <c r="H57" s="32"/>
      <c r="I57" s="32"/>
      <c r="J57" s="32"/>
      <c r="K57" s="32"/>
    </row>
    <row r="58" ht="15.75" customHeight="1">
      <c r="A58" s="33" t="s">
        <v>252</v>
      </c>
      <c r="B58" s="34">
        <f t="array" ref="B58">SUM(IF(ISNUMBER(SEARCH("dark-skin-hand_rotate", 5:5)), OFFSET(9:9, 0, 3), 0))</f>
        <v>619</v>
      </c>
      <c r="C58" s="32"/>
      <c r="D58" s="32"/>
      <c r="E58" s="32"/>
      <c r="F58" s="32"/>
      <c r="G58" s="32"/>
      <c r="H58" s="32"/>
      <c r="I58" s="32"/>
      <c r="J58" s="32"/>
      <c r="K58" s="32"/>
    </row>
    <row r="59" ht="15.75" customHeight="1">
      <c r="A59" s="32"/>
      <c r="B59" s="31">
        <f>SUM(B51:B58)</f>
        <v>4552</v>
      </c>
      <c r="C59" s="32"/>
      <c r="D59" s="32"/>
      <c r="E59" s="32"/>
      <c r="F59" s="32"/>
      <c r="G59" s="32"/>
      <c r="H59" s="32"/>
      <c r="I59" s="32"/>
      <c r="J59" s="32"/>
      <c r="K59" s="32"/>
    </row>
    <row r="60" ht="15.75" customHeight="1">
      <c r="A60" s="32"/>
      <c r="B60" s="31">
        <f>SUM(B41,B50,B59)</f>
        <v>7680</v>
      </c>
      <c r="C60" s="32"/>
      <c r="D60" s="32"/>
      <c r="E60" s="32"/>
      <c r="F60" s="32"/>
      <c r="G60" s="32"/>
      <c r="H60" s="32"/>
      <c r="I60" s="32"/>
      <c r="J60" s="32"/>
      <c r="K60" s="3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96">
    <mergeCell ref="A1:K1"/>
    <mergeCell ref="A2:K2"/>
    <mergeCell ref="A3:K3"/>
    <mergeCell ref="C5:F5"/>
    <mergeCell ref="H5:K5"/>
    <mergeCell ref="M5:P5"/>
    <mergeCell ref="R5:U5"/>
    <mergeCell ref="A9:A20"/>
    <mergeCell ref="W5:Z5"/>
    <mergeCell ref="AB5:AE5"/>
    <mergeCell ref="AG5:AJ5"/>
    <mergeCell ref="AL5:AO5"/>
    <mergeCell ref="AQ5:AT5"/>
    <mergeCell ref="AV5:AY5"/>
    <mergeCell ref="BA5:BD5"/>
    <mergeCell ref="BF5:BI5"/>
    <mergeCell ref="BK5:BN5"/>
    <mergeCell ref="BP5:BS5"/>
    <mergeCell ref="BU5:BX5"/>
    <mergeCell ref="BZ5:CC5"/>
    <mergeCell ref="CE5:CH5"/>
    <mergeCell ref="CJ5:CM5"/>
    <mergeCell ref="CO5:CR5"/>
    <mergeCell ref="CT5:CW5"/>
    <mergeCell ref="CY5:DB5"/>
    <mergeCell ref="DD5:DG5"/>
    <mergeCell ref="DI5:DL5"/>
    <mergeCell ref="DN5:DQ5"/>
    <mergeCell ref="DS5:DV5"/>
    <mergeCell ref="DX5:EA5"/>
    <mergeCell ref="EC5:EF5"/>
    <mergeCell ref="EH5:EK5"/>
    <mergeCell ref="EM5:EP5"/>
    <mergeCell ref="ER5:EU5"/>
    <mergeCell ref="EW5:EZ5"/>
    <mergeCell ref="FB5:FE5"/>
    <mergeCell ref="FG5:FJ5"/>
    <mergeCell ref="FL5:FO5"/>
    <mergeCell ref="FQ5:FT5"/>
    <mergeCell ref="FV5:FY5"/>
    <mergeCell ref="GA5:GD5"/>
    <mergeCell ref="GF5:GI5"/>
    <mergeCell ref="GK5:GN5"/>
    <mergeCell ref="GP5:GS5"/>
    <mergeCell ref="GU5:GX5"/>
    <mergeCell ref="GZ5:HC5"/>
    <mergeCell ref="HE5:HH5"/>
    <mergeCell ref="HJ5:HM5"/>
    <mergeCell ref="HO5:HR5"/>
    <mergeCell ref="HT5:HW5"/>
    <mergeCell ref="HY5:IB5"/>
    <mergeCell ref="ID5:IG5"/>
    <mergeCell ref="II5:IL5"/>
    <mergeCell ref="IN5:IQ5"/>
    <mergeCell ref="IS5:IV5"/>
    <mergeCell ref="IX5:JA5"/>
    <mergeCell ref="JC5:JF5"/>
    <mergeCell ref="JH5:JK5"/>
    <mergeCell ref="JM5:JP5"/>
    <mergeCell ref="JR5:JU5"/>
    <mergeCell ref="JW5:JZ5"/>
    <mergeCell ref="KB5:KE5"/>
    <mergeCell ref="KG5:KJ5"/>
    <mergeCell ref="KL5:KO5"/>
    <mergeCell ref="KQ5:KT5"/>
    <mergeCell ref="KV5:KY5"/>
    <mergeCell ref="LA5:LD5"/>
    <mergeCell ref="LF5:LI5"/>
    <mergeCell ref="LK5:LN5"/>
    <mergeCell ref="LP5:LS5"/>
    <mergeCell ref="LU5:LX5"/>
    <mergeCell ref="LZ5:MC5"/>
    <mergeCell ref="ME5:MH5"/>
    <mergeCell ref="MJ5:MM5"/>
    <mergeCell ref="MO5:MR5"/>
    <mergeCell ref="MT5:MW5"/>
    <mergeCell ref="MY5:NB5"/>
    <mergeCell ref="ND5:NG5"/>
    <mergeCell ref="NI5:NL5"/>
    <mergeCell ref="NN5:NQ5"/>
    <mergeCell ref="NS5:NV5"/>
    <mergeCell ref="NX5:OA5"/>
    <mergeCell ref="OC5:OF5"/>
    <mergeCell ref="OH5:OK5"/>
    <mergeCell ref="OM5:OP5"/>
    <mergeCell ref="OR5:OU5"/>
    <mergeCell ref="OW5:OZ5"/>
    <mergeCell ref="PB5:PE5"/>
    <mergeCell ref="PG5:PJ5"/>
    <mergeCell ref="PL5:PO5"/>
    <mergeCell ref="PQ5:PT5"/>
    <mergeCell ref="PV5:PY5"/>
    <mergeCell ref="QA5:QD5"/>
    <mergeCell ref="QF5:QI5"/>
    <mergeCell ref="QK5:QN5"/>
    <mergeCell ref="QP5:QS5"/>
    <mergeCell ref="QU5:QX5"/>
    <mergeCell ref="QZ5:RC5"/>
    <mergeCell ref="RE5:RH5"/>
    <mergeCell ref="AAU5:AAX5"/>
    <mergeCell ref="AAZ5:ABC5"/>
    <mergeCell ref="ABE5:ABH5"/>
    <mergeCell ref="ABJ5:ABM5"/>
    <mergeCell ref="ABO5:ABR5"/>
    <mergeCell ref="ABT5:ABW5"/>
    <mergeCell ref="ABY5:ACB5"/>
    <mergeCell ref="ACD5:ACG5"/>
    <mergeCell ref="ACI5:ACL5"/>
    <mergeCell ref="ACN5:ACQ5"/>
    <mergeCell ref="ACS5:ACV5"/>
    <mergeCell ref="ACX5:ADA5"/>
    <mergeCell ref="ADC5:ADF5"/>
    <mergeCell ref="ADH5:ADK5"/>
    <mergeCell ref="ADM5:ADP5"/>
    <mergeCell ref="ADR5:ADU5"/>
    <mergeCell ref="ADW5:ADZ5"/>
    <mergeCell ref="AEB5:AEE5"/>
    <mergeCell ref="AEG5:AEJ5"/>
    <mergeCell ref="AEL5:AEO5"/>
    <mergeCell ref="AEQ5:AET5"/>
    <mergeCell ref="AEV5:AEY5"/>
    <mergeCell ref="AFA5:AFD5"/>
    <mergeCell ref="AFF5:AFI5"/>
    <mergeCell ref="AFK5:AFN5"/>
    <mergeCell ref="AFP5:AFS5"/>
    <mergeCell ref="AFU5:AFX5"/>
    <mergeCell ref="AFZ5:AGC5"/>
    <mergeCell ref="AGE5:AGH5"/>
    <mergeCell ref="AGJ5:AGM5"/>
    <mergeCell ref="AGO5:AGR5"/>
    <mergeCell ref="AGT5:AGW5"/>
    <mergeCell ref="AGY5:AHB5"/>
    <mergeCell ref="AHD5:AHG5"/>
    <mergeCell ref="AHI5:AHL5"/>
    <mergeCell ref="AIW5:AIZ5"/>
    <mergeCell ref="AJB5:AJE5"/>
    <mergeCell ref="AJG5:AJJ5"/>
    <mergeCell ref="AJL5:AJO5"/>
    <mergeCell ref="AJQ5:AJT5"/>
    <mergeCell ref="AJV5:AJY5"/>
    <mergeCell ref="AHN5:AHQ5"/>
    <mergeCell ref="AHS5:AHV5"/>
    <mergeCell ref="AHX5:AIA5"/>
    <mergeCell ref="AIC5:AIF5"/>
    <mergeCell ref="AIH5:AIK5"/>
    <mergeCell ref="AIM5:AIP5"/>
    <mergeCell ref="AIR5:AIU5"/>
    <mergeCell ref="RJ5:RM5"/>
    <mergeCell ref="RO5:RR5"/>
    <mergeCell ref="RT5:RW5"/>
    <mergeCell ref="RY5:SB5"/>
    <mergeCell ref="SD5:SG5"/>
    <mergeCell ref="SI5:SL5"/>
    <mergeCell ref="SN5:SQ5"/>
    <mergeCell ref="SS5:SV5"/>
    <mergeCell ref="SX5:TA5"/>
    <mergeCell ref="TC5:TF5"/>
    <mergeCell ref="TH5:TK5"/>
    <mergeCell ref="TM5:TP5"/>
    <mergeCell ref="TR5:TU5"/>
    <mergeCell ref="TW5:TZ5"/>
    <mergeCell ref="UB5:UE5"/>
    <mergeCell ref="UG5:UJ5"/>
    <mergeCell ref="UL5:UO5"/>
    <mergeCell ref="UQ5:UT5"/>
    <mergeCell ref="UV5:UY5"/>
    <mergeCell ref="VA5:VD5"/>
    <mergeCell ref="VF5:VI5"/>
    <mergeCell ref="VK5:VN5"/>
    <mergeCell ref="VP5:VS5"/>
    <mergeCell ref="VU5:VX5"/>
    <mergeCell ref="VZ5:WC5"/>
    <mergeCell ref="WE5:WH5"/>
    <mergeCell ref="WJ5:WM5"/>
    <mergeCell ref="WO5:WR5"/>
    <mergeCell ref="WT5:WW5"/>
    <mergeCell ref="WY5:XB5"/>
    <mergeCell ref="XD5:XG5"/>
    <mergeCell ref="XI5:XL5"/>
    <mergeCell ref="XN5:XQ5"/>
    <mergeCell ref="XS5:XV5"/>
    <mergeCell ref="XX5:YA5"/>
    <mergeCell ref="YC5:YF5"/>
    <mergeCell ref="YH5:YK5"/>
    <mergeCell ref="YM5:YP5"/>
    <mergeCell ref="YR5:YU5"/>
    <mergeCell ref="YW5:YZ5"/>
    <mergeCell ref="ZB5:ZE5"/>
    <mergeCell ref="ZG5:ZJ5"/>
    <mergeCell ref="ZL5:ZO5"/>
    <mergeCell ref="ZQ5:ZT5"/>
    <mergeCell ref="ZV5:ZY5"/>
    <mergeCell ref="AAA5:AAD5"/>
    <mergeCell ref="AAF5:AAI5"/>
    <mergeCell ref="AAK5:AAN5"/>
    <mergeCell ref="AAP5:AAS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2025-11-05T15:58:54.376Z</dcterms:created>
  <dc:creator>Qualtrics Stats iQ Export</dc:creator>
</cp:coreProperties>
</file>